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 firstSheet="7" activeTab="7"/>
  </bookViews>
  <sheets>
    <sheet name="CommonClock" sheetId="9" r:id="rId1"/>
    <sheet name="CommonWindow" sheetId="13" r:id="rId2"/>
    <sheet name="DungionCharacterStatus" sheetId="10" r:id="rId3"/>
    <sheet name="dungionStatus" sheetId="15" r:id="rId4"/>
    <sheet name="DungionCharacterWepon" sheetId="17" r:id="rId5"/>
    <sheet name="dungionItem" sheetId="11" r:id="rId6"/>
    <sheet name="dungionMain" sheetId="12" r:id="rId7"/>
    <sheet name="dungionResult" sheetId="14" r:id="rId8"/>
    <sheet name="PartyView" sheetId="16" r:id="rId9"/>
    <sheet name="DungionResultItemText" sheetId="18" r:id="rId10"/>
    <sheet name="DungionResultItemAbility" sheetId="19" r:id="rId11"/>
    <sheet name="DungionResultWeponStatus" sheetId="20" r:id="rId12"/>
  </sheets>
  <calcPr calcId="145621"/>
</workbook>
</file>

<file path=xl/calcChain.xml><?xml version="1.0" encoding="utf-8"?>
<calcChain xmlns="http://schemas.openxmlformats.org/spreadsheetml/2006/main">
  <c r="G17" i="14" l="1"/>
  <c r="G13" i="14"/>
  <c r="G14" i="14" s="1"/>
  <c r="G15" i="14" s="1"/>
  <c r="F13" i="14"/>
  <c r="F17" i="14"/>
  <c r="J10" i="14"/>
  <c r="I10" i="14"/>
  <c r="F14" i="14"/>
  <c r="F15" i="14" s="1"/>
  <c r="G26" i="11" l="1"/>
  <c r="F26" i="11"/>
  <c r="J17" i="11"/>
  <c r="I17" i="11"/>
  <c r="H44" i="13" l="1"/>
  <c r="H45" i="13"/>
  <c r="H46" i="13"/>
  <c r="H47" i="13"/>
  <c r="H48" i="13"/>
  <c r="H43" i="13"/>
  <c r="G33" i="13"/>
  <c r="G32" i="13"/>
  <c r="G31" i="13"/>
  <c r="G26" i="13"/>
  <c r="F21" i="13"/>
  <c r="F20" i="13"/>
  <c r="G42" i="13"/>
  <c r="G43" i="13" s="1"/>
  <c r="G44" i="13" s="1"/>
  <c r="G45" i="13" s="1"/>
  <c r="G46" i="13" s="1"/>
  <c r="G47" i="13" s="1"/>
  <c r="G48" i="13" s="1"/>
  <c r="G17" i="13"/>
  <c r="F17" i="13"/>
  <c r="F42" i="13"/>
  <c r="F43" i="13" s="1"/>
  <c r="F44" i="13" s="1"/>
  <c r="F45" i="13" s="1"/>
  <c r="F46" i="13" s="1"/>
  <c r="F47" i="13" s="1"/>
  <c r="F48" i="13" s="1"/>
  <c r="G14" i="13"/>
  <c r="G15" i="13" s="1"/>
  <c r="G16" i="13" s="1"/>
  <c r="I9" i="12"/>
  <c r="I10" i="12" s="1"/>
  <c r="I11" i="12" s="1"/>
  <c r="I12" i="12" s="1"/>
  <c r="J9" i="12"/>
  <c r="J10" i="12" s="1"/>
  <c r="J11" i="12" s="1"/>
  <c r="J12" i="12" s="1"/>
  <c r="G19" i="13" l="1"/>
  <c r="G18" i="13"/>
  <c r="G20" i="13" s="1"/>
  <c r="G21" i="13" l="1"/>
  <c r="G9" i="9" s="1"/>
  <c r="G8" i="9"/>
</calcChain>
</file>

<file path=xl/sharedStrings.xml><?xml version="1.0" encoding="utf-8"?>
<sst xmlns="http://schemas.openxmlformats.org/spreadsheetml/2006/main" count="1300" uniqueCount="471">
  <si>
    <t>#</t>
  </si>
  <si>
    <t>JSGAMECLGCommonTextWindow</t>
  </si>
  <si>
    <t>セリフ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</si>
  <si>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</si>
  <si>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</si>
  <si>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</si>
  <si>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</si>
  <si>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</si>
  <si>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</si>
  <si>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</si>
  <si>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</si>
  <si>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</si>
  <si>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</si>
  <si>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</si>
  <si>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</si>
  <si>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</si>
  <si>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</si>
  <si>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</si>
  <si>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</si>
  <si>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</si>
  <si>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</si>
  <si>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</si>
  <si>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</si>
  <si>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</si>
  <si>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./data/img/village/yajirusi.png</t>
  </si>
  <si>
    <t xml:space="preserve"> </t>
  </si>
  <si>
    <t>右</t>
  </si>
  <si>
    <t>下</t>
  </si>
  <si>
    <t>左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</si>
  <si>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</si>
  <si>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</si>
  <si>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</si>
  <si>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</si>
  <si>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</si>
  <si>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</si>
  <si>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</si>
  <si>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</si>
  <si>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#JSGAMECLGCommonTextWindow</t>
  </si>
  <si>
    <t>テキスト桁数</t>
  </si>
  <si>
    <t>テキスト行数</t>
  </si>
  <si>
    <t>装備１</t>
  </si>
  <si>
    <t>装備２</t>
  </si>
  <si>
    <t>装備３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</si>
  <si>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</si>
  <si>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</si>
  <si>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</si>
  <si>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</si>
  <si>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</si>
  <si>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</si>
  <si>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</si>
  <si>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</si>
  <si>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</si>
  <si>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</si>
  <si>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</si>
  <si>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</si>
  <si>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</si>
  <si>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</si>
  <si>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JSGAMECLGCommonTextSelecter</t>
  </si>
  <si>
    <t>./data/img/common/window15x15.png</t>
  </si>
  <si>
    <t>./data/img/village/next.png</t>
  </si>
  <si>
    <t>#背景</t>
  </si>
  <si>
    <t>JSGAMECLGCommonWindow</t>
  </si>
  <si>
    <t>キャラステータス背景</t>
  </si>
  <si>
    <t>SYS-Character-Status_Window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</si>
  <si>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</si>
  <si>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</si>
  <si>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</si>
  <si>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</si>
  <si>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</si>
  <si>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</si>
  <si>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</si>
  <si>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</si>
  <si>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</si>
  <si>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</si>
  <si>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</si>
  <si>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</si>
  <si>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</si>
  <si>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</si>
  <si>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</si>
  <si>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</si>
  <si>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</si>
  <si>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</si>
  <si>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</si>
  <si>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</si>
  <si>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</si>
  <si>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</si>
  <si>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</si>
  <si>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</si>
  <si>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</si>
  <si>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</si>
  <si>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</si>
  <si>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</si>
  <si>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</si>
  <si>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</si>
  <si>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</si>
  <si>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</si>
  <si>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</si>
  <si>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</si>
  <si>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</si>
  <si>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</si>
  <si>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</si>
  <si>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</si>
  <si>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</si>
  <si>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</si>
  <si>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</si>
  <si>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</si>
  <si>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</si>
  <si>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</si>
  <si>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</si>
  <si>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</si>
  <si>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</si>
  <si>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</si>
  <si>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</si>
  <si>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サンプルテキスト</t>
  </si>
  <si>
    <t>特性説明</t>
  </si>
  <si>
    <t>特性名前</t>
  </si>
  <si>
    <t>#特性説明</t>
  </si>
  <si>
    <t>特性説明欄背景</t>
  </si>
  <si>
    <t>#特性説明欄</t>
  </si>
  <si>
    <t>アイテム説明</t>
  </si>
  <si>
    <t>#アイテム重さ</t>
  </si>
  <si>
    <t>#アイテム説明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</si>
  <si>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</si>
  <si>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</si>
  <si>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</si>
  <si>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</si>
  <si>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</si>
  <si>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</si>
  <si>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</si>
  <si>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SPD:+</t>
  </si>
  <si>
    <t>DEF:+</t>
  </si>
  <si>
    <t>ATK:+</t>
  </si>
  <si>
    <t>CAP:+</t>
  </si>
  <si>
    <t>MP :+</t>
  </si>
  <si>
    <t>HP :+</t>
  </si>
  <si>
    <t>装備ステータス欄背景</t>
  </si>
  <si>
    <t>TEST</t>
  </si>
  <si>
    <t>DungionCommon-Clock-Escape</t>
  </si>
  <si>
    <t>こめんと</t>
  </si>
  <si>
    <t>textFont</t>
  </si>
  <si>
    <t>aaaaa</t>
  </si>
  <si>
    <t>testtest</t>
  </si>
  <si>
    <t>#JSGAMECLGCommonText</t>
  </si>
  <si>
    <t>#行動可能時間の時計を作る部品</t>
  </si>
  <si>
    <t>#行動可能時間</t>
  </si>
  <si>
    <t>#装備ステータス欄</t>
  </si>
  <si>
    <t>ItemUse-Target4</t>
  </si>
  <si>
    <t>ItemUse-Target3</t>
  </si>
  <si>
    <t>ItemUse-Target2</t>
  </si>
  <si>
    <t>ItemUse-Target1</t>
  </si>
  <si>
    <t>#使用対象選択</t>
  </si>
  <si>
    <t>捨てる</t>
  </si>
  <si>
    <t>./data/img/common/menu_elem3_long.png</t>
  </si>
  <si>
    <t>ItemUse-Trush</t>
  </si>
  <si>
    <t>使う</t>
  </si>
  <si>
    <t>ItemUse-Use</t>
  </si>
  <si>
    <t>#使用・投棄選択</t>
  </si>
  <si>
    <t>ItemUse-ItemList</t>
  </si>
  <si>
    <t>アイテム一覧</t>
  </si>
  <si>
    <t>インデントY</t>
  </si>
  <si>
    <t>インデントX</t>
  </si>
  <si>
    <t>#アイテム一覧</t>
  </si>
  <si>
    <t>./data/img/village/BGI.png</t>
  </si>
  <si>
    <t>BackGround</t>
  </si>
  <si>
    <t>背景</t>
  </si>
  <si>
    <t>#背景画像</t>
  </si>
  <si>
    <t>#アイテム使用時にのみ表示される部品</t>
  </si>
  <si>
    <t>#ダンジョンアイテム使用画面</t>
  </si>
  <si>
    <t>result</t>
  </si>
  <si>
    <t>ステータス</t>
  </si>
  <si>
    <t>status</t>
  </si>
  <si>
    <t>アイテム</t>
  </si>
  <si>
    <t>item</t>
  </si>
  <si>
    <t>#メインメニュー</t>
  </si>
  <si>
    <t>#ダンジョンメイン画面でのみ表示される部品</t>
  </si>
  <si>
    <t>#ダンジョンメイン</t>
  </si>
  <si>
    <t>./data/img/common/hp-gauge.png</t>
  </si>
  <si>
    <t>DungionCommon-Hunt</t>
  </si>
  <si>
    <t>探索率</t>
  </si>
  <si>
    <t>JSGAMECLGGauge</t>
  </si>
  <si>
    <t>DungionCommon-MaxWeight</t>
  </si>
  <si>
    <t>最大所持重量</t>
  </si>
  <si>
    <t>DungionCommon-CurrentWeight</t>
  </si>
  <si>
    <t>現在所持重量</t>
  </si>
  <si>
    <t>DungionCommon-MaxFloor</t>
  </si>
  <si>
    <t>最大階層</t>
  </si>
  <si>
    <t>DungionCommon-CurrentFloor</t>
  </si>
  <si>
    <t>現在階層</t>
  </si>
  <si>
    <t>ハクレイ=テンプル</t>
  </si>
  <si>
    <t>./data/img/village/window15x15.png</t>
  </si>
  <si>
    <t>ReimuMenuTitle</t>
  </si>
  <si>
    <t>タイトル</t>
  </si>
  <si>
    <t>#ダンジョン画面で常に表示されている部品たち</t>
  </si>
  <si>
    <t>#ダンジョン画面共通部品</t>
  </si>
  <si>
    <t>#リザルト画面でのみ表示される部品</t>
  </si>
  <si>
    <t>#ダンジョンリザルト</t>
  </si>
  <si>
    <t>#ステータス確認画面でだけ表示される部品</t>
  </si>
  <si>
    <t>#ダンジョン</t>
  </si>
  <si>
    <t>./data/img/character/orin.png</t>
  </si>
  <si>
    <t>DungionCommon-Party4</t>
  </si>
  <si>
    <t>DungionCommon-Party3</t>
  </si>
  <si>
    <t>DungionCommon-Party2</t>
  </si>
  <si>
    <t>DungionCommon-Party1</t>
  </si>
  <si>
    <t>#パーティが表示されてるところを一喝指定</t>
  </si>
  <si>
    <t>#現在パーティの一括表示</t>
  </si>
  <si>
    <t>#共通系</t>
    <rPh sb="1" eb="3">
      <t>キョウツウ</t>
    </rPh>
    <rPh sb="3" eb="4">
      <t>ケイ</t>
    </rPh>
    <phoneticPr fontId="18"/>
  </si>
  <si>
    <t>攻略結果</t>
    <rPh sb="0" eb="2">
      <t>コウリャク</t>
    </rPh>
    <rPh sb="2" eb="4">
      <t>ケッカ</t>
    </rPh>
    <phoneticPr fontId="18"/>
  </si>
  <si>
    <t>ダンジョン名</t>
    <rPh sb="5" eb="6">
      <t>メイ</t>
    </rPh>
    <phoneticPr fontId="18"/>
  </si>
  <si>
    <t>到達階層</t>
    <rPh sb="0" eb="2">
      <t>トウタツ</t>
    </rPh>
    <rPh sb="2" eb="4">
      <t>カイソウ</t>
    </rPh>
    <phoneticPr fontId="18"/>
  </si>
  <si>
    <t>表示中画面説明</t>
    <rPh sb="0" eb="3">
      <t>ヒョウジチュウ</t>
    </rPh>
    <rPh sb="3" eb="5">
      <t>ガメン</t>
    </rPh>
    <rPh sb="5" eb="7">
      <t>セツメイ</t>
    </rPh>
    <phoneticPr fontId="18"/>
  </si>
  <si>
    <t>#レベルアップ画面</t>
    <rPh sb="7" eb="9">
      <t>ガメン</t>
    </rPh>
    <phoneticPr fontId="18"/>
  </si>
  <si>
    <t>#キャラ1情報</t>
    <rPh sb="5" eb="7">
      <t>ジョウホウ</t>
    </rPh>
    <phoneticPr fontId="18"/>
  </si>
  <si>
    <t>キャラ名</t>
    <rPh sb="3" eb="4">
      <t>メイ</t>
    </rPh>
    <phoneticPr fontId="18"/>
  </si>
  <si>
    <t>クラス名</t>
    <rPh sb="3" eb="4">
      <t>メイ</t>
    </rPh>
    <phoneticPr fontId="18"/>
  </si>
  <si>
    <t>現在レベル</t>
    <rPh sb="0" eb="2">
      <t>ゲンザイ</t>
    </rPh>
    <phoneticPr fontId="18"/>
  </si>
  <si>
    <t>次期レベル</t>
    <rPh sb="0" eb="2">
      <t>ジキ</t>
    </rPh>
    <phoneticPr fontId="18"/>
  </si>
  <si>
    <t>次のレベルまでの経験値</t>
    <rPh sb="0" eb="1">
      <t>ツギ</t>
    </rPh>
    <rPh sb="8" eb="10">
      <t>ケイケン</t>
    </rPh>
    <rPh sb="10" eb="11">
      <t>チ</t>
    </rPh>
    <phoneticPr fontId="18"/>
  </si>
  <si>
    <t>レベルゲージ</t>
    <phoneticPr fontId="18"/>
  </si>
  <si>
    <t>#アイテム獲得画面</t>
    <rPh sb="5" eb="7">
      <t>カクトク</t>
    </rPh>
    <rPh sb="7" eb="9">
      <t>ガメン</t>
    </rPh>
    <phoneticPr fontId="18"/>
  </si>
  <si>
    <t>アイテムリスト</t>
    <phoneticPr fontId="18"/>
  </si>
  <si>
    <t>キャラ画像はPartyViewで定義</t>
    <rPh sb="3" eb="5">
      <t>ガゾウ</t>
    </rPh>
    <rPh sb="16" eb="18">
      <t>テイギ</t>
    </rPh>
    <phoneticPr fontId="18"/>
  </si>
  <si>
    <t>#アイテム特性は</t>
    <rPh sb="5" eb="7">
      <t>トクセイ</t>
    </rPh>
    <phoneticPr fontId="18"/>
  </si>
  <si>
    <t>#アイテム性能は</t>
    <rPh sb="5" eb="7">
      <t>セイノウ</t>
    </rPh>
    <phoneticPr fontId="18"/>
  </si>
  <si>
    <t>#アイテム説明は</t>
    <rPh sb="5" eb="7">
      <t>セツメイ</t>
    </rPh>
    <phoneticPr fontId="18"/>
  </si>
  <si>
    <t>DungionResultItemAbility.csv</t>
  </si>
  <si>
    <t>DungionResultWeponStatus.csv</t>
  </si>
  <si>
    <t>で定義</t>
    <rPh sb="1" eb="3">
      <t>テイギ</t>
    </rPh>
    <phoneticPr fontId="18"/>
  </si>
  <si>
    <t>JSGAMECLGCommonText</t>
    <phoneticPr fontId="18"/>
  </si>
  <si>
    <t>BackGround-dummy</t>
    <phoneticPr fontId="18"/>
  </si>
  <si>
    <t>Result_DungionName</t>
    <phoneticPr fontId="18"/>
  </si>
  <si>
    <t>Result_Floor</t>
    <phoneticPr fontId="18"/>
  </si>
  <si>
    <t>Result_Message</t>
    <phoneticPr fontId="18"/>
  </si>
  <si>
    <t>Result_Level_Name1</t>
    <phoneticPr fontId="18"/>
  </si>
  <si>
    <t>Result_Level_Class1</t>
    <phoneticPr fontId="18"/>
  </si>
  <si>
    <t>Result_Level_CurrentLevel1</t>
    <phoneticPr fontId="18"/>
  </si>
  <si>
    <t>Result_Level_NextLevel1</t>
    <phoneticPr fontId="18"/>
  </si>
  <si>
    <t>Result_Level_EXPText1</t>
    <phoneticPr fontId="18"/>
  </si>
  <si>
    <t>Result_Level_EXPGauge1</t>
    <phoneticPr fontId="18"/>
  </si>
  <si>
    <t>Result_Level_Class2</t>
    <phoneticPr fontId="18"/>
  </si>
  <si>
    <t>Result_Level_CurrentLevel2</t>
    <phoneticPr fontId="18"/>
  </si>
  <si>
    <t>Result_Level_NextLevel2</t>
    <phoneticPr fontId="18"/>
  </si>
  <si>
    <t>Result_Level_EXPText2</t>
    <phoneticPr fontId="18"/>
  </si>
  <si>
    <t>Result_Level_EXPGauge2</t>
    <phoneticPr fontId="18"/>
  </si>
  <si>
    <t>Result_Level_Name3</t>
    <phoneticPr fontId="18"/>
  </si>
  <si>
    <t>Result_Level_Class3</t>
    <phoneticPr fontId="18"/>
  </si>
  <si>
    <t>Result_Level_CurrentLevel3</t>
    <phoneticPr fontId="18"/>
  </si>
  <si>
    <t>Result_Level_NextLevel3</t>
    <phoneticPr fontId="18"/>
  </si>
  <si>
    <t>Result_Level_EXPText3</t>
    <phoneticPr fontId="18"/>
  </si>
  <si>
    <t>Result_Level_EXPGauge3</t>
    <phoneticPr fontId="18"/>
  </si>
  <si>
    <t>Result_Level_Name4</t>
    <phoneticPr fontId="18"/>
  </si>
  <si>
    <t>Result_Level_Class4</t>
    <phoneticPr fontId="18"/>
  </si>
  <si>
    <t>Result_Level_CurrentLevel4</t>
    <phoneticPr fontId="18"/>
  </si>
  <si>
    <t>Result_Level_NextLevel4</t>
    <phoneticPr fontId="18"/>
  </si>
  <si>
    <t>Result_Level_EXPText4</t>
    <phoneticPr fontId="18"/>
  </si>
  <si>
    <t>Result_Level_EXPGauge4</t>
    <phoneticPr fontId="18"/>
  </si>
  <si>
    <t>Result-Item-List_Weight</t>
    <phoneticPr fontId="18"/>
  </si>
  <si>
    <t>Result-Item-List_Weight-Label</t>
    <phoneticPr fontId="18"/>
  </si>
  <si>
    <t>Result-Item-List_Info</t>
    <phoneticPr fontId="18"/>
  </si>
  <si>
    <t>Result-Item-Ability_Name</t>
    <phoneticPr fontId="18"/>
  </si>
  <si>
    <t>Result-Item-Ability_Notice</t>
    <phoneticPr fontId="18"/>
  </si>
  <si>
    <t>Result-Item-Wepon_Window</t>
    <phoneticPr fontId="18"/>
  </si>
  <si>
    <t>Result-Item-Wepon_HP-Label</t>
    <phoneticPr fontId="18"/>
  </si>
  <si>
    <t>Result-Item-Wepon_MP-Label</t>
    <phoneticPr fontId="18"/>
  </si>
  <si>
    <t>Result-Item-Wepon_CAP-Label</t>
    <phoneticPr fontId="18"/>
  </si>
  <si>
    <t>Result-Item-Wepon_ATK-Label</t>
    <phoneticPr fontId="18"/>
  </si>
  <si>
    <t>Result-Item-Wepon_DEF-Label</t>
    <phoneticPr fontId="18"/>
  </si>
  <si>
    <t>Result-Item-Wepon_SPD-Label</t>
    <phoneticPr fontId="18"/>
  </si>
  <si>
    <t>Result-Item-Wepon_HP</t>
    <phoneticPr fontId="18"/>
  </si>
  <si>
    <t>Result-Item-Wepon_MP</t>
    <phoneticPr fontId="18"/>
  </si>
  <si>
    <t>Result-Item-Wepon_CAP</t>
    <phoneticPr fontId="18"/>
  </si>
  <si>
    <t>Result-Item-Wepon_ATK</t>
    <phoneticPr fontId="18"/>
  </si>
  <si>
    <t>Result-Item-Wepon_DEF</t>
    <phoneticPr fontId="18"/>
  </si>
  <si>
    <t>Result-Item-Wepon_SPD</t>
    <phoneticPr fontId="18"/>
  </si>
  <si>
    <t>./data/img/test/success.png</t>
    <phoneticPr fontId="18"/>
  </si>
  <si>
    <t>Result_Title_Window</t>
    <phoneticPr fontId="18"/>
  </si>
  <si>
    <t>紅魔館</t>
    <rPh sb="0" eb="1">
      <t>コウ</t>
    </rPh>
    <rPh sb="1" eb="2">
      <t>マ</t>
    </rPh>
    <rPh sb="2" eb="3">
      <t>カン</t>
    </rPh>
    <phoneticPr fontId="18"/>
  </si>
  <si>
    <t>10階</t>
    <rPh sb="2" eb="3">
      <t>カイ</t>
    </rPh>
    <phoneticPr fontId="18"/>
  </si>
  <si>
    <t>獲得経験値：10000</t>
    <rPh sb="0" eb="2">
      <t>カクトク</t>
    </rPh>
    <rPh sb="2" eb="4">
      <t>ケイケン</t>
    </rPh>
    <rPh sb="4" eb="5">
      <t>チ</t>
    </rPh>
    <phoneticPr fontId="18"/>
  </si>
  <si>
    <t>情報背景</t>
    <rPh sb="0" eb="2">
      <t>ジョウホウ</t>
    </rPh>
    <rPh sb="2" eb="4">
      <t>ハイケイ</t>
    </rPh>
    <phoneticPr fontId="18"/>
  </si>
  <si>
    <t>Result_Message_Window</t>
    <phoneticPr fontId="18"/>
  </si>
  <si>
    <t>#キャラ2情報</t>
    <rPh sb="5" eb="7">
      <t>ジョウホウ</t>
    </rPh>
    <phoneticPr fontId="18"/>
  </si>
  <si>
    <t>#キャラ3情報</t>
    <rPh sb="5" eb="7">
      <t>ジョウホウ</t>
    </rPh>
    <phoneticPr fontId="18"/>
  </si>
  <si>
    <t>#キャラ4情報</t>
    <rPh sb="5" eb="7">
      <t>ジョウホウ</t>
    </rPh>
    <phoneticPr fontId="18"/>
  </si>
  <si>
    <t>./data/img/character/okuu_wait.png</t>
    <phoneticPr fontId="18"/>
  </si>
  <si>
    <t>Result_Level_Name2</t>
    <phoneticPr fontId="18"/>
  </si>
  <si>
    <t>キャラ名2</t>
    <rPh sb="3" eb="4">
      <t>メイ</t>
    </rPh>
    <phoneticPr fontId="18"/>
  </si>
  <si>
    <t>クラス名2</t>
    <rPh sb="3" eb="4">
      <t>メイ</t>
    </rPh>
    <phoneticPr fontId="18"/>
  </si>
  <si>
    <t>現在レベル2</t>
    <rPh sb="0" eb="2">
      <t>ゲンザイ</t>
    </rPh>
    <phoneticPr fontId="18"/>
  </si>
  <si>
    <t>次期レベル2</t>
    <rPh sb="0" eb="2">
      <t>ジキ</t>
    </rPh>
    <phoneticPr fontId="18"/>
  </si>
  <si>
    <t>次のレベルまでの経験値2</t>
    <rPh sb="0" eb="1">
      <t>ツギ</t>
    </rPh>
    <rPh sb="8" eb="10">
      <t>ケイケン</t>
    </rPh>
    <rPh sb="10" eb="11">
      <t>チ</t>
    </rPh>
    <phoneticPr fontId="18"/>
  </si>
  <si>
    <t>次期レベル1</t>
    <rPh sb="0" eb="2">
      <t>ジキ</t>
    </rPh>
    <phoneticPr fontId="18"/>
  </si>
  <si>
    <t>キャラ名1</t>
    <rPh sb="3" eb="4">
      <t>メイ</t>
    </rPh>
    <phoneticPr fontId="18"/>
  </si>
  <si>
    <t>クラス名1</t>
    <rPh sb="3" eb="4">
      <t>メイ</t>
    </rPh>
    <phoneticPr fontId="18"/>
  </si>
  <si>
    <t>現在レベル1</t>
    <rPh sb="0" eb="2">
      <t>ゲンザイ</t>
    </rPh>
    <phoneticPr fontId="18"/>
  </si>
  <si>
    <t>次のレベルまでの経験値1</t>
    <rPh sb="0" eb="1">
      <t>ツギ</t>
    </rPh>
    <rPh sb="8" eb="10">
      <t>ケイケン</t>
    </rPh>
    <rPh sb="10" eb="11">
      <t>チ</t>
    </rPh>
    <phoneticPr fontId="18"/>
  </si>
  <si>
    <t>右</t>
    <rPh sb="0" eb="1">
      <t>ミギ</t>
    </rPh>
    <phoneticPr fontId="18"/>
  </si>
  <si>
    <t>Result_Level_Image2</t>
    <phoneticPr fontId="18"/>
  </si>
  <si>
    <t>キャラ名3</t>
    <rPh sb="3" eb="4">
      <t>メイ</t>
    </rPh>
    <phoneticPr fontId="18"/>
  </si>
  <si>
    <t>クラス名3</t>
    <rPh sb="3" eb="4">
      <t>メイ</t>
    </rPh>
    <phoneticPr fontId="18"/>
  </si>
  <si>
    <t>現在レベル3</t>
    <rPh sb="0" eb="2">
      <t>ゲンザイ</t>
    </rPh>
    <phoneticPr fontId="18"/>
  </si>
  <si>
    <t>次期レベル3</t>
    <rPh sb="0" eb="2">
      <t>ジキ</t>
    </rPh>
    <phoneticPr fontId="18"/>
  </si>
  <si>
    <t>次のレベルまでの経験値3</t>
    <rPh sb="0" eb="1">
      <t>ツギ</t>
    </rPh>
    <rPh sb="8" eb="10">
      <t>ケイケン</t>
    </rPh>
    <rPh sb="10" eb="11">
      <t>チ</t>
    </rPh>
    <phoneticPr fontId="18"/>
  </si>
  <si>
    <t>キャラ名4</t>
    <rPh sb="3" eb="4">
      <t>メイ</t>
    </rPh>
    <phoneticPr fontId="18"/>
  </si>
  <si>
    <t>クラス名4</t>
    <rPh sb="3" eb="4">
      <t>メイ</t>
    </rPh>
    <phoneticPr fontId="18"/>
  </si>
  <si>
    <t>現在レベル4</t>
    <rPh sb="0" eb="2">
      <t>ゲンザイ</t>
    </rPh>
    <phoneticPr fontId="18"/>
  </si>
  <si>
    <t>次期レベル4</t>
    <rPh sb="0" eb="2">
      <t>ジキ</t>
    </rPh>
    <phoneticPr fontId="18"/>
  </si>
  <si>
    <t>次のレベルまでの経験値4</t>
    <rPh sb="0" eb="1">
      <t>ツギ</t>
    </rPh>
    <rPh sb="8" eb="10">
      <t>ケイケン</t>
    </rPh>
    <rPh sb="10" eb="11">
      <t>チ</t>
    </rPh>
    <phoneticPr fontId="18"/>
  </si>
  <si>
    <t>下</t>
    <rPh sb="0" eb="1">
      <t>シタ</t>
    </rPh>
    <phoneticPr fontId="18"/>
  </si>
  <si>
    <t>左</t>
    <rPh sb="0" eb="1">
      <t>ヒダリ</t>
    </rPh>
    <phoneticPr fontId="18"/>
  </si>
  <si>
    <t>Result_Level_Image3</t>
    <phoneticPr fontId="18"/>
  </si>
  <si>
    <t>Result_Level_Image4</t>
    <phoneticPr fontId="18"/>
  </si>
  <si>
    <t>JSGAMECLGCommonTextSelecter</t>
    <phoneticPr fontId="18"/>
  </si>
  <si>
    <t>DungionResultItemText.csv</t>
    <phoneticPr fontId="18"/>
  </si>
  <si>
    <t>Result-Item-Ability_Window</t>
    <phoneticPr fontId="18"/>
  </si>
  <si>
    <t>Result-Item-List_Window</t>
    <phoneticPr fontId="18"/>
  </si>
  <si>
    <t>Result_Level_Window</t>
    <phoneticPr fontId="18"/>
  </si>
  <si>
    <t>Result_Level_Image1</t>
    <phoneticPr fontId="18"/>
  </si>
  <si>
    <t>Result_Item_Selector</t>
    <phoneticPr fontId="18"/>
  </si>
  <si>
    <t>#レベルアップ画面、ラベル関係</t>
    <rPh sb="7" eb="9">
      <t>ガメン</t>
    </rPh>
    <rPh sb="13" eb="15">
      <t>カンケイ</t>
    </rPh>
    <phoneticPr fontId="18"/>
  </si>
  <si>
    <t>現在レベルの「レベル」</t>
    <rPh sb="0" eb="2">
      <t>ゲンザイ</t>
    </rPh>
    <phoneticPr fontId="18"/>
  </si>
  <si>
    <t>「→」</t>
    <phoneticPr fontId="18"/>
  </si>
  <si>
    <t>次期レベルの「レベル」</t>
    <rPh sb="0" eb="2">
      <t>ジキ</t>
    </rPh>
    <phoneticPr fontId="18"/>
  </si>
  <si>
    <t>Result_Level_CurrentLevel1_Label</t>
    <phoneticPr fontId="18"/>
  </si>
  <si>
    <t>Result_Level_NextLevel1_Label</t>
    <phoneticPr fontId="18"/>
  </si>
  <si>
    <t>「次のレベルまで」</t>
    <rPh sb="1" eb="2">
      <t>ツギ</t>
    </rPh>
    <phoneticPr fontId="18"/>
  </si>
  <si>
    <t>Result_Level_EXPText1_Label</t>
    <phoneticPr fontId="18"/>
  </si>
  <si>
    <t>レベル</t>
    <phoneticPr fontId="18"/>
  </si>
  <si>
    <t>→</t>
    <phoneticPr fontId="18"/>
  </si>
  <si>
    <t>次のレベルまであと</t>
    <rPh sb="0" eb="1">
      <t>ツギ</t>
    </rPh>
    <phoneticPr fontId="18"/>
  </si>
  <si>
    <t>Result_Level_CurrentLevel2_Label</t>
    <phoneticPr fontId="18"/>
  </si>
  <si>
    <t>Result_Level_CurrentNext1_Label</t>
    <phoneticPr fontId="18"/>
  </si>
  <si>
    <t>Result_Level_CurrentNext2_Label</t>
    <phoneticPr fontId="18"/>
  </si>
  <si>
    <t>Result_Level_NextLevel2_Label</t>
    <phoneticPr fontId="18"/>
  </si>
  <si>
    <t>Result_Level_EXPText2_Label</t>
    <phoneticPr fontId="18"/>
  </si>
  <si>
    <t>Result_Level_CurrentLevel3_Label</t>
    <phoneticPr fontId="18"/>
  </si>
  <si>
    <t>Result_Level_CurrentNext3_Label</t>
    <phoneticPr fontId="18"/>
  </si>
  <si>
    <t>Result_Level_NextLevel3_Label</t>
    <phoneticPr fontId="18"/>
  </si>
  <si>
    <t>Result_Level_EXPText3_Label</t>
    <phoneticPr fontId="18"/>
  </si>
  <si>
    <t>Result_Level_CurrentLevel4_Label</t>
    <phoneticPr fontId="18"/>
  </si>
  <si>
    <t>Result_Level_CurrentNext4_Label</t>
    <phoneticPr fontId="18"/>
  </si>
  <si>
    <t>Result_Level_NextLevel4_Label</t>
    <phoneticPr fontId="18"/>
  </si>
  <si>
    <t>Result_Level_EXPText4_Label</t>
    <phoneticPr fontId="18"/>
  </si>
  <si>
    <t>到達階層ラベル</t>
    <rPh sb="0" eb="2">
      <t>トウタツ</t>
    </rPh>
    <rPh sb="2" eb="4">
      <t>カイソウ</t>
    </rPh>
    <phoneticPr fontId="18"/>
  </si>
  <si>
    <t>Result_Floor_Label</t>
    <phoneticPr fontId="18"/>
  </si>
  <si>
    <t>撤退</t>
    <rPh sb="0" eb="2">
      <t>テッタイ</t>
    </rPh>
    <phoneticPr fontId="18"/>
  </si>
  <si>
    <t>先へ進む</t>
    <rPh sb="0" eb="1">
      <t>サキ</t>
    </rPh>
    <rPh sb="2" eb="3">
      <t>スス</t>
    </rPh>
    <phoneticPr fontId="18"/>
  </si>
  <si>
    <t>探索</t>
    <rPh sb="0" eb="2">
      <t>タンサク</t>
    </rPh>
    <phoneticPr fontId="18"/>
  </si>
  <si>
    <t>next</t>
    <phoneticPr fontId="18"/>
  </si>
  <si>
    <t>hunt</t>
    <phoneticPr fontId="18"/>
  </si>
  <si>
    <t>#JSGAMECLGCommonImage</t>
    <phoneticPr fontId="18"/>
  </si>
  <si>
    <t>JSGAMECLGCommonImage</t>
    <phoneticPr fontId="18"/>
  </si>
  <si>
    <t>#てすと</t>
    <phoneticPr fontId="18"/>
  </si>
  <si>
    <t>テスト画像</t>
    <rPh sb="3" eb="5">
      <t>ガゾウ</t>
    </rPh>
    <phoneticPr fontId="18"/>
  </si>
  <si>
    <t>test-Image-Hunt</t>
    <phoneticPr fontId="18"/>
  </si>
  <si>
    <t>test-Image-GetItem</t>
    <phoneticPr fontId="18"/>
  </si>
  <si>
    <t>test-Image-Encount</t>
    <phoneticPr fontId="18"/>
  </si>
  <si>
    <t>test-Image-RandomEv</t>
    <phoneticPr fontId="18"/>
  </si>
  <si>
    <t>test-Image-Next</t>
    <phoneticPr fontId="18"/>
  </si>
  <si>
    <t>./data/img/test/エンカウント.png</t>
    <phoneticPr fontId="18"/>
  </si>
  <si>
    <t>./data/img/test/ランダムイベント.png</t>
    <phoneticPr fontId="18"/>
  </si>
  <si>
    <t>./data/img/test/移動中.png</t>
    <rPh sb="16" eb="19">
      <t>イドウチュウ</t>
    </rPh>
    <phoneticPr fontId="18"/>
  </si>
  <si>
    <t>DungionCommon-Text</t>
    <phoneticPr fontId="18"/>
  </si>
  <si>
    <t>Result_Title_Success</t>
    <phoneticPr fontId="18"/>
  </si>
  <si>
    <t>./data/img/test/faild.png</t>
    <phoneticPr fontId="18"/>
  </si>
  <si>
    <t>Result_Title_Faild</t>
    <phoneticPr fontId="18"/>
  </si>
  <si>
    <t>./data/img/test/hunt.png</t>
    <phoneticPr fontId="18"/>
  </si>
  <si>
    <t>./data/img/test/item.png</t>
    <phoneticPr fontId="18"/>
  </si>
  <si>
    <t>テスト画像</t>
    <rPh sb="3" eb="5">
      <t>ガゾウ</t>
    </rPh>
    <phoneticPr fontId="18"/>
  </si>
  <si>
    <t>test-Image-Hunt</t>
    <phoneticPr fontId="18"/>
  </si>
  <si>
    <t>./data/img/test/hunt_anim_0_5x3.png</t>
    <phoneticPr fontId="18"/>
  </si>
  <si>
    <t>/</t>
    <phoneticPr fontId="18"/>
  </si>
  <si>
    <t>DungionCommon-WaightSplit</t>
    <phoneticPr fontId="18"/>
  </si>
  <si>
    <t>DungionCommon-FloorSplit</t>
    <phoneticPr fontId="18"/>
  </si>
  <si>
    <t>フロア</t>
    <phoneticPr fontId="18"/>
  </si>
  <si>
    <t>DungionCommon-FloorLabel</t>
    <phoneticPr fontId="18"/>
  </si>
  <si>
    <t>./data/img/test/flora.png</t>
    <phoneticPr fontId="18"/>
  </si>
  <si>
    <t>探索率ラベル</t>
    <phoneticPr fontId="18"/>
  </si>
  <si>
    <t>DungionCommon-HuntLabel</t>
    <phoneticPr fontId="18"/>
  </si>
  <si>
    <t>おもさ</t>
    <phoneticPr fontId="18"/>
  </si>
  <si>
    <t>DungionCommon-WaitLabel</t>
    <phoneticPr fontId="18"/>
  </si>
  <si>
    <t>./data/img/test/wait.png</t>
    <phoneticPr fontId="18"/>
  </si>
  <si>
    <t>middle</t>
    <phoneticPr fontId="18"/>
  </si>
  <si>
    <t>./data/img/test/hunt_ico.png</t>
    <phoneticPr fontId="18"/>
  </si>
  <si>
    <t>./data/img/test/item_0_14x1.png</t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</si>
  <si>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</si>
  <si>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</si>
  <si>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BackGround</t>
    <phoneticPr fontId="18"/>
  </si>
  <si>
    <t>./data/img/village/loop.png</t>
    <phoneticPr fontId="18"/>
  </si>
  <si>
    <t>脱出コスト</t>
    <phoneticPr fontId="18"/>
  </si>
  <si>
    <t>#</t>
    <phoneticPr fontId="18"/>
  </si>
  <si>
    <t>#階層、探索率、残スタミナ、脱出コスト</t>
    <phoneticPr fontId="18"/>
  </si>
  <si>
    <t>ウィンドウ</t>
    <phoneticPr fontId="18"/>
  </si>
  <si>
    <t>DungionCommon-DungWindow</t>
    <phoneticPr fontId="18"/>
  </si>
  <si>
    <t>./data/img/common/window15x15.png</t>
    <phoneticPr fontId="18"/>
  </si>
  <si>
    <t>#未使用</t>
    <phoneticPr fontId="18"/>
  </si>
  <si>
    <t>階層ラベル</t>
    <phoneticPr fontId="18"/>
  </si>
  <si>
    <t>DungionCommon-CurrentFloorLabel</t>
    <phoneticPr fontId="18"/>
  </si>
  <si>
    <t>階層</t>
    <phoneticPr fontId="18"/>
  </si>
  <si>
    <t>/</t>
    <phoneticPr fontId="18"/>
  </si>
  <si>
    <t>#</t>
    <phoneticPr fontId="18"/>
  </si>
  <si>
    <t>探索率ラベル</t>
    <phoneticPr fontId="18"/>
  </si>
  <si>
    <t>探索率</t>
    <phoneticPr fontId="18"/>
  </si>
  <si>
    <t>％</t>
    <phoneticPr fontId="18"/>
  </si>
  <si>
    <t>DungionCommon-SearchLabel</t>
    <phoneticPr fontId="18"/>
  </si>
  <si>
    <t>DungionCommon-Search</t>
    <phoneticPr fontId="18"/>
  </si>
  <si>
    <t>DungionCommon-SearchPer</t>
    <phoneticPr fontId="18"/>
  </si>
  <si>
    <t>探索率</t>
    <phoneticPr fontId="18"/>
  </si>
  <si>
    <t>%</t>
    <phoneticPr fontId="18"/>
  </si>
  <si>
    <t>残スタミナラベル</t>
    <phoneticPr fontId="18"/>
  </si>
  <si>
    <t>残スタミナ</t>
    <phoneticPr fontId="18"/>
  </si>
  <si>
    <t>DungionCommon-Clock-Current</t>
    <phoneticPr fontId="18"/>
  </si>
  <si>
    <t>DungionCommon-Clock-CurrentLabel</t>
    <phoneticPr fontId="18"/>
  </si>
  <si>
    <t>DungionCommon-Clock-EscapeLabel</t>
    <phoneticPr fontId="18"/>
  </si>
  <si>
    <t>脱出コストラベル</t>
    <phoneticPr fontId="18"/>
  </si>
  <si>
    <t>残スタミナ</t>
    <phoneticPr fontId="18"/>
  </si>
  <si>
    <t>#経験値</t>
    <phoneticPr fontId="18"/>
  </si>
  <si>
    <t>DungionCommon-ExpWindow</t>
    <phoneticPr fontId="18"/>
  </si>
  <si>
    <t>DungionCommon-ExpLabel</t>
    <phoneticPr fontId="18"/>
  </si>
  <si>
    <t>DungionCommon-Exp</t>
    <phoneticPr fontId="18"/>
  </si>
  <si>
    <t>経験値</t>
    <phoneticPr fontId="18"/>
  </si>
  <si>
    <t>#重さ</t>
    <phoneticPr fontId="18"/>
  </si>
  <si>
    <t>重さラベル</t>
    <phoneticPr fontId="18"/>
  </si>
  <si>
    <t>DungionCommon-WeightLabel</t>
    <phoneticPr fontId="18"/>
  </si>
  <si>
    <t>DungionCommon-WeightWindow</t>
    <phoneticPr fontId="18"/>
  </si>
  <si>
    <t>重さ</t>
    <phoneticPr fontId="18"/>
  </si>
  <si>
    <t>./data/img/common/menu_pointer_s.png</t>
    <phoneticPr fontId="18"/>
  </si>
  <si>
    <t>./data/img/village/next.png</t>
    <phoneticPr fontId="18"/>
  </si>
  <si>
    <t>アイテム項目名</t>
    <phoneticPr fontId="18"/>
  </si>
  <si>
    <t>ItemUse-ItemListLabel</t>
    <phoneticPr fontId="18"/>
  </si>
  <si>
    <t>名前　　　　　　　　所持数</t>
    <phoneticPr fontId="18"/>
  </si>
  <si>
    <t>キャラステータス背景下</t>
  </si>
  <si>
    <t>SYS-Character-Status_Window2</t>
  </si>
  <si>
    <t>キャラ名-ラベル</t>
  </si>
  <si>
    <t>SYS-Character-Status_Name-Label</t>
  </si>
  <si>
    <t>名前:</t>
  </si>
  <si>
    <t>　Lv:</t>
  </si>
  <si>
    <t>Nextラベル</t>
  </si>
  <si>
    <t>SYS-Character-Status_Next-Label</t>
  </si>
  <si>
    <t>　Ex:</t>
  </si>
  <si>
    <t>Next</t>
  </si>
  <si>
    <t>SYS-Character-Status_Next</t>
  </si>
  <si>
    <t>タイプアイコン</t>
  </si>
  <si>
    <t>クラス名-ラベル</t>
  </si>
  <si>
    <t>SYS-Character-Status_Class-Name-Label</t>
  </si>
  <si>
    <t>職業:</t>
  </si>
  <si>
    <t>クラス名</t>
  </si>
  <si>
    <t>種族-ラベル</t>
  </si>
  <si>
    <t>SYS-Character-Status_Type-Label</t>
  </si>
  <si>
    <t>種族:</t>
  </si>
  <si>
    <t>種族</t>
  </si>
  <si>
    <t>SYS-Character-Status_Type</t>
  </si>
  <si>
    <t>妖怪</t>
  </si>
  <si>
    <t>上</t>
    <phoneticPr fontId="18"/>
  </si>
  <si>
    <t>キャラ１背景</t>
    <phoneticPr fontId="18"/>
  </si>
  <si>
    <t>Result_Floor_Window</t>
    <phoneticPr fontId="18"/>
  </si>
  <si>
    <t>結果ウィンドウ</t>
    <phoneticPr fontId="18"/>
  </si>
  <si>
    <t>ダンジョン名ウィンドウ</t>
    <phoneticPr fontId="18"/>
  </si>
  <si>
    <t>経験値ウィンドウ</t>
    <phoneticPr fontId="18"/>
  </si>
  <si>
    <t>Result_Level_Window1</t>
    <phoneticPr fontId="18"/>
  </si>
  <si>
    <t>キャラ２背景</t>
    <phoneticPr fontId="18"/>
  </si>
  <si>
    <t>キャラ３背景</t>
    <phoneticPr fontId="18"/>
  </si>
  <si>
    <t>キャラ４背景</t>
    <phoneticPr fontId="18"/>
  </si>
  <si>
    <t>Result_Level_Window4</t>
    <phoneticPr fontId="18"/>
  </si>
  <si>
    <t>Result_Level_Window3</t>
    <phoneticPr fontId="18"/>
  </si>
  <si>
    <t>Result_Level_Window2</t>
    <phoneticPr fontId="18"/>
  </si>
  <si>
    <t>./data/img/common/level_gauge.png</t>
    <phoneticPr fontId="18"/>
  </si>
  <si>
    <t>CAP：</t>
  </si>
  <si>
    <t>./data/img/common/menu_pointer.png</t>
  </si>
  <si>
    <t>アイテム名称</t>
    <phoneticPr fontId="18"/>
  </si>
  <si>
    <t>Result_Item_Selector_header</t>
    <phoneticPr fontId="18"/>
  </si>
  <si>
    <t>名前　　　　　　　　　個数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</si>
</sst>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0</xdr:row>
          <xdr:rowOff>85725</xdr:rowOff>
        </xdr:from>
        <xdr:to>
          <xdr:col>4</xdr:col>
          <xdr:colOff>200025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85725</xdr:rowOff>
        </xdr:from>
        <xdr:to>
          <xdr:col>4</xdr:col>
          <xdr:colOff>200025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85725</xdr:rowOff>
        </xdr:from>
        <xdr:to>
          <xdr:col>5</xdr:col>
          <xdr:colOff>200025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2</xdr:col>
          <xdr:colOff>476250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66675</xdr:rowOff>
        </xdr:from>
        <xdr:to>
          <xdr:col>3</xdr:col>
          <xdr:colOff>504825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</xdr:row>
          <xdr:rowOff>9525</xdr:rowOff>
        </xdr:from>
        <xdr:to>
          <xdr:col>2</xdr:col>
          <xdr:colOff>1781175</xdr:colOff>
          <xdr:row>2</xdr:row>
          <xdr:rowOff>95250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18</xdr:row>
          <xdr:rowOff>85725</xdr:rowOff>
        </xdr:from>
        <xdr:to>
          <xdr:col>1</xdr:col>
          <xdr:colOff>200025</xdr:colOff>
          <xdr:row>20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"/>
  <sheetViews>
    <sheetView workbookViewId="0">
      <selection activeCell="D17" sqref="D17"/>
    </sheetView>
  </sheetViews>
  <sheetFormatPr defaultRowHeight="13.5" x14ac:dyDescent="0.15"/>
  <cols>
    <col min="1" max="1" width="30.125" bestFit="1" customWidth="1"/>
    <col min="2" max="2" width="15" bestFit="1" customWidth="1"/>
    <col min="3" max="3" width="29.5" bestFit="1" customWidth="1"/>
    <col min="4" max="4" width="5.5" bestFit="1" customWidth="1"/>
    <col min="5" max="6" width="6" bestFit="1" customWidth="1"/>
    <col min="7" max="7" width="4.5" bestFit="1" customWidth="1"/>
    <col min="8" max="8" width="5.875" bestFit="1" customWidth="1"/>
    <col min="9" max="9" width="6.375" bestFit="1" customWidth="1"/>
    <col min="10" max="10" width="8.875" bestFit="1" customWidth="1"/>
    <col min="11" max="12" width="10.875" bestFit="1" customWidth="1"/>
  </cols>
  <sheetData>
    <row r="1" spans="1:11" x14ac:dyDescent="0.15">
      <c r="A1" t="s">
        <v>144</v>
      </c>
    </row>
    <row r="2" spans="1:11" x14ac:dyDescent="0.15">
      <c r="A2" t="s">
        <v>0</v>
      </c>
    </row>
    <row r="3" spans="1:11" x14ac:dyDescent="0.15">
      <c r="A3" t="s">
        <v>143</v>
      </c>
    </row>
    <row r="4" spans="1:11" x14ac:dyDescent="0.15">
      <c r="A4" t="s">
        <v>0</v>
      </c>
    </row>
    <row r="7" spans="1:11" x14ac:dyDescent="0.15">
      <c r="A7" t="s">
        <v>142</v>
      </c>
      <c r="B7" t="s">
        <v>138</v>
      </c>
      <c r="C7" t="s">
        <v>141</v>
      </c>
      <c r="D7">
        <v>5</v>
      </c>
      <c r="E7" t="b">
        <v>1</v>
      </c>
      <c r="F7">
        <v>100</v>
      </c>
      <c r="G7">
        <v>100</v>
      </c>
      <c r="H7" t="s">
        <v>140</v>
      </c>
      <c r="I7" t="s">
        <v>139</v>
      </c>
      <c r="J7" t="s">
        <v>69</v>
      </c>
      <c r="K7" t="s">
        <v>7</v>
      </c>
    </row>
    <row r="8" spans="1:11" x14ac:dyDescent="0.15">
      <c r="A8" t="s">
        <v>65</v>
      </c>
      <c r="B8" t="s">
        <v>409</v>
      </c>
      <c r="C8" t="s">
        <v>410</v>
      </c>
      <c r="D8">
        <v>1010</v>
      </c>
      <c r="E8" t="b">
        <v>1</v>
      </c>
      <c r="F8">
        <v>110</v>
      </c>
      <c r="G8">
        <f>CommonWindow!G20</f>
        <v>153</v>
      </c>
      <c r="H8">
        <v>20</v>
      </c>
      <c r="I8" t="s">
        <v>69</v>
      </c>
      <c r="J8" t="s">
        <v>6</v>
      </c>
      <c r="K8" t="s">
        <v>7</v>
      </c>
    </row>
    <row r="9" spans="1:11" x14ac:dyDescent="0.15">
      <c r="A9" t="s">
        <v>65</v>
      </c>
      <c r="B9" t="s">
        <v>388</v>
      </c>
      <c r="C9" t="s">
        <v>137</v>
      </c>
      <c r="D9">
        <v>1010</v>
      </c>
      <c r="E9" t="b">
        <v>1</v>
      </c>
      <c r="F9">
        <v>110</v>
      </c>
      <c r="G9">
        <f>CommonWindow!G21</f>
        <v>176</v>
      </c>
      <c r="H9">
        <v>5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utputCSV">
                <anchor moveWithCells="1" sizeWithCells="1">
                  <from>
                    <xdr:col>2</xdr:col>
                    <xdr:colOff>1219200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8"/>
  <sheetViews>
    <sheetView workbookViewId="0">
      <selection activeCell="A19" sqref="A19"/>
    </sheetView>
  </sheetViews>
  <sheetFormatPr defaultRowHeight="13.5" x14ac:dyDescent="0.15"/>
  <cols>
    <col min="1" max="1" width="41.75" bestFit="1" customWidth="1"/>
    <col min="2" max="2" width="13" bestFit="1" customWidth="1"/>
    <col min="3" max="3" width="29.25" bestFit="1" customWidth="1"/>
    <col min="6" max="6" width="34.625" bestFit="1" customWidth="1"/>
  </cols>
  <sheetData>
    <row r="1" spans="1:18" x14ac:dyDescent="0.15">
      <c r="A1" t="s">
        <v>193</v>
      </c>
    </row>
    <row r="2" spans="1:18" x14ac:dyDescent="0.15">
      <c r="A2" t="s">
        <v>0</v>
      </c>
    </row>
    <row r="3" spans="1:18" x14ac:dyDescent="0.15">
      <c r="A3" t="s">
        <v>192</v>
      </c>
    </row>
    <row r="4" spans="1:18" x14ac:dyDescent="0.15">
      <c r="A4" t="s">
        <v>0</v>
      </c>
    </row>
    <row r="5" spans="1:18" x14ac:dyDescent="0.15">
      <c r="A5" t="s">
        <v>165</v>
      </c>
    </row>
    <row r="6" spans="1:18" x14ac:dyDescent="0.15">
      <c r="A6" t="s">
        <v>350</v>
      </c>
      <c r="B6" t="s">
        <v>164</v>
      </c>
      <c r="C6" t="s">
        <v>386</v>
      </c>
      <c r="D6">
        <v>1</v>
      </c>
      <c r="E6" t="b">
        <v>1</v>
      </c>
      <c r="F6" t="s">
        <v>387</v>
      </c>
      <c r="G6">
        <v>1280</v>
      </c>
      <c r="H6">
        <v>480</v>
      </c>
      <c r="I6">
        <v>-200</v>
      </c>
      <c r="J6">
        <v>0</v>
      </c>
    </row>
    <row r="8" spans="1:18" x14ac:dyDescent="0.15">
      <c r="A8" t="s">
        <v>37</v>
      </c>
      <c r="B8" t="s">
        <v>191</v>
      </c>
      <c r="C8" t="s">
        <v>190</v>
      </c>
      <c r="D8">
        <v>5</v>
      </c>
      <c r="E8" t="b">
        <v>1</v>
      </c>
      <c r="F8" t="s">
        <v>189</v>
      </c>
      <c r="G8">
        <v>15</v>
      </c>
      <c r="H8">
        <v>15</v>
      </c>
      <c r="I8">
        <v>5</v>
      </c>
      <c r="J8">
        <v>5</v>
      </c>
      <c r="K8">
        <v>166</v>
      </c>
      <c r="L8">
        <v>32</v>
      </c>
      <c r="M8">
        <v>5</v>
      </c>
      <c r="N8">
        <v>1</v>
      </c>
      <c r="O8" t="s">
        <v>188</v>
      </c>
      <c r="P8" t="s">
        <v>5</v>
      </c>
      <c r="Q8" t="s">
        <v>6</v>
      </c>
      <c r="R8" t="s">
        <v>7</v>
      </c>
    </row>
    <row r="9" spans="1:18" x14ac:dyDescent="0.15">
      <c r="A9" t="s">
        <v>1</v>
      </c>
      <c r="B9" t="s">
        <v>2</v>
      </c>
      <c r="C9" t="s">
        <v>361</v>
      </c>
      <c r="D9">
        <v>5</v>
      </c>
      <c r="E9" t="b">
        <v>1</v>
      </c>
      <c r="F9" t="s">
        <v>3</v>
      </c>
      <c r="G9">
        <v>20</v>
      </c>
      <c r="H9">
        <v>20</v>
      </c>
      <c r="I9">
        <v>10</v>
      </c>
      <c r="J9">
        <v>10</v>
      </c>
      <c r="K9">
        <v>450</v>
      </c>
      <c r="L9">
        <v>50</v>
      </c>
      <c r="M9">
        <v>25</v>
      </c>
      <c r="N9">
        <v>3</v>
      </c>
      <c r="O9" t="s">
        <v>4</v>
      </c>
      <c r="P9" t="s">
        <v>5</v>
      </c>
      <c r="Q9" t="s">
        <v>6</v>
      </c>
      <c r="R9" t="s">
        <v>7</v>
      </c>
    </row>
    <row r="11" spans="1:18" x14ac:dyDescent="0.15">
      <c r="A11" t="s">
        <v>390</v>
      </c>
    </row>
    <row r="12" spans="1:18" x14ac:dyDescent="0.15">
      <c r="A12" t="s">
        <v>61</v>
      </c>
      <c r="B12" t="s">
        <v>391</v>
      </c>
      <c r="C12" t="s">
        <v>392</v>
      </c>
      <c r="D12">
        <v>1000</v>
      </c>
      <c r="E12" t="b">
        <v>1</v>
      </c>
      <c r="F12" t="s">
        <v>393</v>
      </c>
      <c r="G12">
        <v>15</v>
      </c>
      <c r="H12">
        <v>15</v>
      </c>
      <c r="I12">
        <v>10</v>
      </c>
      <c r="J12">
        <v>95</v>
      </c>
      <c r="K12">
        <v>134</v>
      </c>
      <c r="L12">
        <v>89</v>
      </c>
    </row>
    <row r="13" spans="1:18" x14ac:dyDescent="0.15">
      <c r="A13" t="s">
        <v>65</v>
      </c>
      <c r="B13" t="s">
        <v>395</v>
      </c>
      <c r="C13" t="s">
        <v>396</v>
      </c>
      <c r="D13">
        <v>1010</v>
      </c>
      <c r="E13" t="b">
        <v>1</v>
      </c>
      <c r="F13">
        <v>26</v>
      </c>
      <c r="G13">
        <v>107</v>
      </c>
      <c r="H13" t="s">
        <v>397</v>
      </c>
      <c r="I13" t="s">
        <v>69</v>
      </c>
      <c r="J13" t="s">
        <v>6</v>
      </c>
      <c r="K13" t="s">
        <v>7</v>
      </c>
    </row>
    <row r="14" spans="1:18" x14ac:dyDescent="0.15">
      <c r="A14" t="s">
        <v>65</v>
      </c>
      <c r="B14" t="s">
        <v>187</v>
      </c>
      <c r="C14" t="s">
        <v>186</v>
      </c>
      <c r="D14">
        <v>1010</v>
      </c>
      <c r="E14" t="b">
        <v>1</v>
      </c>
      <c r="F14">
        <v>102</v>
      </c>
      <c r="G14">
        <f>G13</f>
        <v>107</v>
      </c>
      <c r="H14" t="s">
        <v>136</v>
      </c>
      <c r="I14" t="s">
        <v>69</v>
      </c>
      <c r="J14" t="s">
        <v>6</v>
      </c>
      <c r="K14" t="s">
        <v>7</v>
      </c>
    </row>
    <row r="15" spans="1:18" x14ac:dyDescent="0.15">
      <c r="A15" t="s">
        <v>227</v>
      </c>
      <c r="B15" t="s">
        <v>370</v>
      </c>
      <c r="C15" t="s">
        <v>372</v>
      </c>
      <c r="D15">
        <v>1010</v>
      </c>
      <c r="E15" t="b">
        <v>1</v>
      </c>
      <c r="F15">
        <v>118</v>
      </c>
      <c r="G15">
        <f t="shared" ref="G15:G16" si="0">G14</f>
        <v>107</v>
      </c>
      <c r="H15" t="s">
        <v>398</v>
      </c>
      <c r="I15" t="s">
        <v>69</v>
      </c>
      <c r="J15" t="s">
        <v>6</v>
      </c>
      <c r="K15" t="s">
        <v>7</v>
      </c>
    </row>
    <row r="16" spans="1:18" x14ac:dyDescent="0.15">
      <c r="A16" t="s">
        <v>65</v>
      </c>
      <c r="B16" t="s">
        <v>185</v>
      </c>
      <c r="C16" t="s">
        <v>184</v>
      </c>
      <c r="D16">
        <v>1010</v>
      </c>
      <c r="E16" t="b">
        <v>1</v>
      </c>
      <c r="F16">
        <v>126</v>
      </c>
      <c r="G16">
        <f t="shared" si="0"/>
        <v>107</v>
      </c>
      <c r="H16" t="s">
        <v>136</v>
      </c>
      <c r="I16" t="s">
        <v>381</v>
      </c>
      <c r="J16" t="s">
        <v>6</v>
      </c>
      <c r="K16" t="s">
        <v>7</v>
      </c>
    </row>
    <row r="17" spans="1:12" x14ac:dyDescent="0.15">
      <c r="A17" t="s">
        <v>65</v>
      </c>
      <c r="B17" t="s">
        <v>400</v>
      </c>
      <c r="C17" t="s">
        <v>403</v>
      </c>
      <c r="D17">
        <v>1010</v>
      </c>
      <c r="E17" t="b">
        <v>1</v>
      </c>
      <c r="F17">
        <f>F13</f>
        <v>26</v>
      </c>
      <c r="G17">
        <f>G13+23</f>
        <v>130</v>
      </c>
      <c r="H17" t="s">
        <v>406</v>
      </c>
      <c r="I17" t="s">
        <v>381</v>
      </c>
      <c r="J17" t="s">
        <v>6</v>
      </c>
      <c r="K17" t="s">
        <v>7</v>
      </c>
    </row>
    <row r="18" spans="1:12" x14ac:dyDescent="0.15">
      <c r="A18" t="s">
        <v>65</v>
      </c>
      <c r="B18" t="s">
        <v>401</v>
      </c>
      <c r="C18" t="s">
        <v>404</v>
      </c>
      <c r="D18">
        <v>1010</v>
      </c>
      <c r="E18" t="b">
        <v>1</v>
      </c>
      <c r="F18">
        <v>110</v>
      </c>
      <c r="G18">
        <f>G14+23</f>
        <v>130</v>
      </c>
      <c r="H18">
        <v>100</v>
      </c>
      <c r="I18" t="s">
        <v>381</v>
      </c>
      <c r="J18" t="s">
        <v>6</v>
      </c>
      <c r="K18" t="s">
        <v>7</v>
      </c>
    </row>
    <row r="19" spans="1:12" x14ac:dyDescent="0.15">
      <c r="A19" t="s">
        <v>65</v>
      </c>
      <c r="B19" t="s">
        <v>402</v>
      </c>
      <c r="C19" t="s">
        <v>405</v>
      </c>
      <c r="D19">
        <v>1010</v>
      </c>
      <c r="E19" t="b">
        <v>1</v>
      </c>
      <c r="F19">
        <v>134</v>
      </c>
      <c r="G19">
        <f>G15+23</f>
        <v>130</v>
      </c>
      <c r="H19" t="s">
        <v>407</v>
      </c>
      <c r="I19" t="s">
        <v>381</v>
      </c>
      <c r="J19" t="s">
        <v>6</v>
      </c>
      <c r="K19" t="s">
        <v>7</v>
      </c>
    </row>
    <row r="20" spans="1:12" x14ac:dyDescent="0.15">
      <c r="A20" t="s">
        <v>65</v>
      </c>
      <c r="B20" t="s">
        <v>408</v>
      </c>
      <c r="C20" t="s">
        <v>411</v>
      </c>
      <c r="D20">
        <v>1010</v>
      </c>
      <c r="E20" t="b">
        <v>1</v>
      </c>
      <c r="F20">
        <f>F13</f>
        <v>26</v>
      </c>
      <c r="G20">
        <f>G18+23</f>
        <v>153</v>
      </c>
      <c r="H20" t="s">
        <v>414</v>
      </c>
      <c r="I20" t="s">
        <v>69</v>
      </c>
      <c r="J20" t="s">
        <v>6</v>
      </c>
      <c r="K20" t="s">
        <v>7</v>
      </c>
    </row>
    <row r="21" spans="1:12" x14ac:dyDescent="0.15">
      <c r="A21" t="s">
        <v>65</v>
      </c>
      <c r="B21" t="s">
        <v>413</v>
      </c>
      <c r="C21" t="s">
        <v>412</v>
      </c>
      <c r="D21">
        <v>1010</v>
      </c>
      <c r="E21" t="b">
        <v>1</v>
      </c>
      <c r="F21">
        <f>F13</f>
        <v>26</v>
      </c>
      <c r="G21">
        <f>G20+23</f>
        <v>176</v>
      </c>
      <c r="H21" t="s">
        <v>388</v>
      </c>
      <c r="I21" t="s">
        <v>69</v>
      </c>
      <c r="J21" t="s">
        <v>6</v>
      </c>
      <c r="K21" t="s">
        <v>7</v>
      </c>
    </row>
    <row r="23" spans="1:12" x14ac:dyDescent="0.15">
      <c r="A23" t="s">
        <v>415</v>
      </c>
    </row>
    <row r="24" spans="1:12" x14ac:dyDescent="0.15">
      <c r="A24" t="s">
        <v>61</v>
      </c>
      <c r="B24" t="s">
        <v>391</v>
      </c>
      <c r="C24" t="s">
        <v>416</v>
      </c>
      <c r="D24">
        <v>1000</v>
      </c>
      <c r="E24" t="b">
        <v>1</v>
      </c>
      <c r="F24" t="s">
        <v>393</v>
      </c>
      <c r="G24">
        <v>15</v>
      </c>
      <c r="H24">
        <v>15</v>
      </c>
      <c r="I24">
        <v>350</v>
      </c>
      <c r="J24">
        <v>340</v>
      </c>
      <c r="K24">
        <v>119</v>
      </c>
      <c r="L24">
        <v>29</v>
      </c>
    </row>
    <row r="25" spans="1:12" x14ac:dyDescent="0.15">
      <c r="A25" t="s">
        <v>65</v>
      </c>
      <c r="B25" t="s">
        <v>395</v>
      </c>
      <c r="C25" t="s">
        <v>417</v>
      </c>
      <c r="D25">
        <v>1010</v>
      </c>
      <c r="E25" t="b">
        <v>1</v>
      </c>
      <c r="F25">
        <v>362</v>
      </c>
      <c r="G25">
        <v>355</v>
      </c>
      <c r="H25" t="s">
        <v>419</v>
      </c>
      <c r="I25" t="s">
        <v>69</v>
      </c>
      <c r="J25" t="s">
        <v>6</v>
      </c>
      <c r="K25" t="s">
        <v>7</v>
      </c>
    </row>
    <row r="26" spans="1:12" x14ac:dyDescent="0.15">
      <c r="A26" t="s">
        <v>65</v>
      </c>
      <c r="B26" t="s">
        <v>187</v>
      </c>
      <c r="C26" t="s">
        <v>418</v>
      </c>
      <c r="D26">
        <v>1010</v>
      </c>
      <c r="E26" t="b">
        <v>1</v>
      </c>
      <c r="F26">
        <v>416</v>
      </c>
      <c r="G26">
        <f>G25</f>
        <v>355</v>
      </c>
      <c r="H26">
        <v>9999999</v>
      </c>
      <c r="I26" t="s">
        <v>69</v>
      </c>
      <c r="J26" t="s">
        <v>6</v>
      </c>
      <c r="K26" t="s">
        <v>7</v>
      </c>
    </row>
    <row r="28" spans="1:12" x14ac:dyDescent="0.15">
      <c r="A28" t="s">
        <v>420</v>
      </c>
    </row>
    <row r="29" spans="1:12" x14ac:dyDescent="0.15">
      <c r="A29" t="s">
        <v>61</v>
      </c>
      <c r="B29" t="s">
        <v>391</v>
      </c>
      <c r="C29" t="s">
        <v>423</v>
      </c>
      <c r="D29">
        <v>1000</v>
      </c>
      <c r="E29" t="b">
        <v>1</v>
      </c>
      <c r="F29" t="s">
        <v>393</v>
      </c>
      <c r="G29">
        <v>15</v>
      </c>
      <c r="H29">
        <v>15</v>
      </c>
      <c r="I29">
        <v>495</v>
      </c>
      <c r="J29">
        <v>340</v>
      </c>
      <c r="K29">
        <v>119</v>
      </c>
      <c r="L29">
        <v>29</v>
      </c>
    </row>
    <row r="30" spans="1:12" x14ac:dyDescent="0.15">
      <c r="A30" t="s">
        <v>65</v>
      </c>
      <c r="B30" t="s">
        <v>421</v>
      </c>
      <c r="C30" t="s">
        <v>422</v>
      </c>
      <c r="D30">
        <v>1010</v>
      </c>
      <c r="E30" t="b">
        <v>1</v>
      </c>
      <c r="F30">
        <v>513</v>
      </c>
      <c r="G30">
        <v>355</v>
      </c>
      <c r="H30" t="s">
        <v>424</v>
      </c>
      <c r="I30" t="s">
        <v>69</v>
      </c>
      <c r="J30" t="s">
        <v>6</v>
      </c>
      <c r="K30" t="s">
        <v>7</v>
      </c>
    </row>
    <row r="31" spans="1:12" x14ac:dyDescent="0.15">
      <c r="A31" t="s">
        <v>65</v>
      </c>
      <c r="B31" t="s">
        <v>183</v>
      </c>
      <c r="C31" t="s">
        <v>182</v>
      </c>
      <c r="D31">
        <v>1010</v>
      </c>
      <c r="E31" t="b">
        <v>1</v>
      </c>
      <c r="F31">
        <v>555</v>
      </c>
      <c r="G31">
        <f>G30</f>
        <v>355</v>
      </c>
      <c r="H31" t="s">
        <v>136</v>
      </c>
      <c r="I31" t="s">
        <v>69</v>
      </c>
      <c r="J31" t="s">
        <v>6</v>
      </c>
      <c r="K31" t="s">
        <v>7</v>
      </c>
    </row>
    <row r="32" spans="1:12" x14ac:dyDescent="0.15">
      <c r="A32" t="s">
        <v>65</v>
      </c>
      <c r="B32" t="s">
        <v>370</v>
      </c>
      <c r="C32" t="s">
        <v>371</v>
      </c>
      <c r="D32">
        <v>1010</v>
      </c>
      <c r="E32" t="b">
        <v>1</v>
      </c>
      <c r="F32">
        <v>579</v>
      </c>
      <c r="G32">
        <f>G31</f>
        <v>355</v>
      </c>
      <c r="H32" t="s">
        <v>398</v>
      </c>
      <c r="I32" t="s">
        <v>69</v>
      </c>
      <c r="J32" t="s">
        <v>6</v>
      </c>
      <c r="K32" t="s">
        <v>7</v>
      </c>
    </row>
    <row r="33" spans="1:15" x14ac:dyDescent="0.15">
      <c r="A33" t="s">
        <v>65</v>
      </c>
      <c r="B33" t="s">
        <v>181</v>
      </c>
      <c r="C33" t="s">
        <v>180</v>
      </c>
      <c r="D33">
        <v>1010</v>
      </c>
      <c r="E33" t="b">
        <v>1</v>
      </c>
      <c r="F33">
        <v>587</v>
      </c>
      <c r="G33">
        <f>G32</f>
        <v>355</v>
      </c>
      <c r="H33" t="s">
        <v>136</v>
      </c>
      <c r="I33" t="s">
        <v>69</v>
      </c>
      <c r="J33" t="s">
        <v>6</v>
      </c>
      <c r="K33" t="s">
        <v>7</v>
      </c>
    </row>
    <row r="35" spans="1:15" x14ac:dyDescent="0.15">
      <c r="A35" t="s">
        <v>394</v>
      </c>
    </row>
    <row r="36" spans="1:15" x14ac:dyDescent="0.15">
      <c r="A36" t="s">
        <v>350</v>
      </c>
      <c r="B36" t="s">
        <v>373</v>
      </c>
      <c r="C36" t="s">
        <v>374</v>
      </c>
      <c r="D36">
        <v>1</v>
      </c>
      <c r="E36" t="b">
        <v>1</v>
      </c>
      <c r="F36" t="s">
        <v>375</v>
      </c>
      <c r="G36">
        <v>25</v>
      </c>
      <c r="H36">
        <v>28</v>
      </c>
      <c r="I36">
        <v>-999</v>
      </c>
      <c r="J36">
        <v>95</v>
      </c>
    </row>
    <row r="37" spans="1:15" x14ac:dyDescent="0.15">
      <c r="A37" t="s">
        <v>350</v>
      </c>
      <c r="B37" t="s">
        <v>376</v>
      </c>
      <c r="C37" t="s">
        <v>377</v>
      </c>
      <c r="D37">
        <v>1</v>
      </c>
      <c r="E37" t="b">
        <v>1</v>
      </c>
      <c r="F37" t="s">
        <v>382</v>
      </c>
      <c r="G37">
        <v>28</v>
      </c>
      <c r="H37">
        <v>28</v>
      </c>
      <c r="I37">
        <v>-999</v>
      </c>
      <c r="J37">
        <v>110</v>
      </c>
    </row>
    <row r="38" spans="1:15" x14ac:dyDescent="0.15">
      <c r="A38" t="s">
        <v>179</v>
      </c>
      <c r="B38" t="s">
        <v>178</v>
      </c>
      <c r="C38" t="s">
        <v>177</v>
      </c>
      <c r="D38">
        <v>1</v>
      </c>
      <c r="E38" t="b">
        <v>1</v>
      </c>
      <c r="F38" t="s">
        <v>176</v>
      </c>
      <c r="G38">
        <v>70</v>
      </c>
      <c r="H38">
        <v>10</v>
      </c>
      <c r="I38">
        <v>-999</v>
      </c>
      <c r="J38">
        <v>115</v>
      </c>
      <c r="K38">
        <v>100</v>
      </c>
      <c r="L38">
        <v>100</v>
      </c>
      <c r="N38">
        <v>70</v>
      </c>
      <c r="O38">
        <v>45</v>
      </c>
    </row>
    <row r="39" spans="1:15" x14ac:dyDescent="0.15">
      <c r="A39" t="s">
        <v>350</v>
      </c>
      <c r="B39" t="s">
        <v>373</v>
      </c>
      <c r="C39" t="s">
        <v>374</v>
      </c>
      <c r="D39">
        <v>5</v>
      </c>
      <c r="E39" t="b">
        <v>1</v>
      </c>
      <c r="F39" t="s">
        <v>375</v>
      </c>
      <c r="G39">
        <v>25</v>
      </c>
      <c r="H39">
        <v>28</v>
      </c>
      <c r="I39">
        <v>-999</v>
      </c>
      <c r="J39">
        <v>95</v>
      </c>
    </row>
    <row r="40" spans="1:15" x14ac:dyDescent="0.15">
      <c r="A40" t="s">
        <v>350</v>
      </c>
      <c r="B40" t="s">
        <v>378</v>
      </c>
      <c r="C40" t="s">
        <v>379</v>
      </c>
      <c r="D40">
        <v>5</v>
      </c>
      <c r="E40" t="b">
        <v>1</v>
      </c>
      <c r="F40" t="s">
        <v>380</v>
      </c>
      <c r="G40">
        <v>28</v>
      </c>
      <c r="H40">
        <v>28</v>
      </c>
      <c r="I40">
        <v>-999</v>
      </c>
      <c r="J40">
        <v>125</v>
      </c>
    </row>
    <row r="41" spans="1:15" x14ac:dyDescent="0.15">
      <c r="E41" t="s">
        <v>399</v>
      </c>
      <c r="F41">
        <v>142</v>
      </c>
    </row>
    <row r="42" spans="1:15" x14ac:dyDescent="0.15">
      <c r="E42" t="s">
        <v>389</v>
      </c>
      <c r="F42">
        <f>F41-16</f>
        <v>126</v>
      </c>
      <c r="G42">
        <f>F41-8</f>
        <v>134</v>
      </c>
      <c r="H42">
        <v>611</v>
      </c>
    </row>
    <row r="43" spans="1:15" x14ac:dyDescent="0.15">
      <c r="E43" t="s">
        <v>399</v>
      </c>
      <c r="F43">
        <f t="shared" ref="F43:F48" si="1">F42-16</f>
        <v>110</v>
      </c>
      <c r="G43">
        <f>G42-8</f>
        <v>126</v>
      </c>
      <c r="H43">
        <f>H42-8</f>
        <v>603</v>
      </c>
    </row>
    <row r="44" spans="1:15" x14ac:dyDescent="0.15">
      <c r="E44" t="s">
        <v>389</v>
      </c>
      <c r="F44">
        <f t="shared" si="1"/>
        <v>94</v>
      </c>
      <c r="G44">
        <f t="shared" ref="G44:G48" si="2">G43-8</f>
        <v>118</v>
      </c>
      <c r="H44">
        <f t="shared" ref="H44:H48" si="3">H43-8</f>
        <v>595</v>
      </c>
    </row>
    <row r="45" spans="1:15" x14ac:dyDescent="0.15">
      <c r="E45" t="s">
        <v>389</v>
      </c>
      <c r="F45">
        <f t="shared" si="1"/>
        <v>78</v>
      </c>
      <c r="G45">
        <f t="shared" si="2"/>
        <v>110</v>
      </c>
      <c r="H45">
        <f t="shared" si="3"/>
        <v>587</v>
      </c>
    </row>
    <row r="46" spans="1:15" x14ac:dyDescent="0.15">
      <c r="E46" t="s">
        <v>389</v>
      </c>
      <c r="F46">
        <f t="shared" si="1"/>
        <v>62</v>
      </c>
      <c r="G46">
        <f t="shared" si="2"/>
        <v>102</v>
      </c>
      <c r="H46">
        <f t="shared" si="3"/>
        <v>579</v>
      </c>
    </row>
    <row r="47" spans="1:15" x14ac:dyDescent="0.15">
      <c r="E47" t="s">
        <v>389</v>
      </c>
      <c r="F47">
        <f t="shared" si="1"/>
        <v>46</v>
      </c>
      <c r="G47">
        <f t="shared" si="2"/>
        <v>94</v>
      </c>
      <c r="H47">
        <f t="shared" si="3"/>
        <v>571</v>
      </c>
    </row>
    <row r="48" spans="1:15" x14ac:dyDescent="0.15">
      <c r="E48" t="s">
        <v>399</v>
      </c>
      <c r="F48">
        <f t="shared" si="1"/>
        <v>30</v>
      </c>
      <c r="G48">
        <f t="shared" si="2"/>
        <v>86</v>
      </c>
      <c r="H48">
        <f t="shared" si="3"/>
        <v>563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5"/>
  <sheetViews>
    <sheetView workbookViewId="0">
      <selection activeCell="A6" sqref="A5:XFD6"/>
    </sheetView>
  </sheetViews>
  <sheetFormatPr defaultRowHeight="13.5" x14ac:dyDescent="0.15"/>
  <cols>
    <col min="1" max="1" width="26.375" bestFit="1" customWidth="1"/>
    <col min="3" max="3" width="9" customWidth="1"/>
  </cols>
  <sheetData>
    <row r="1" spans="1:12" x14ac:dyDescent="0.15">
      <c r="A1" t="s">
        <v>145</v>
      </c>
    </row>
    <row r="5" spans="1:12" x14ac:dyDescent="0.15">
      <c r="A5" s="8" t="s">
        <v>60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</row>
    <row r="6" spans="1:12" x14ac:dyDescent="0.15">
      <c r="A6" s="8" t="s">
        <v>61</v>
      </c>
      <c r="B6" s="8" t="s">
        <v>62</v>
      </c>
      <c r="C6" s="8" t="s">
        <v>63</v>
      </c>
      <c r="D6" s="8">
        <v>2000</v>
      </c>
      <c r="E6" s="8" t="b">
        <v>1</v>
      </c>
      <c r="F6" s="8" t="s">
        <v>58</v>
      </c>
      <c r="G6" s="8">
        <v>15</v>
      </c>
      <c r="H6" s="8">
        <v>15</v>
      </c>
      <c r="I6" s="8">
        <v>10</v>
      </c>
      <c r="J6" s="8">
        <v>100</v>
      </c>
      <c r="K6" s="8">
        <v>270</v>
      </c>
      <c r="L6" s="8">
        <v>50</v>
      </c>
    </row>
    <row r="7" spans="1:12" x14ac:dyDescent="0.15">
      <c r="A7" s="8" t="s">
        <v>61</v>
      </c>
      <c r="B7" s="8" t="s">
        <v>430</v>
      </c>
      <c r="C7" s="8" t="s">
        <v>431</v>
      </c>
      <c r="D7" s="9">
        <v>2000</v>
      </c>
      <c r="E7" s="8" t="b">
        <v>1</v>
      </c>
      <c r="F7" s="8" t="s">
        <v>58</v>
      </c>
      <c r="G7" s="8">
        <v>15</v>
      </c>
      <c r="H7" s="8">
        <v>15</v>
      </c>
      <c r="I7" s="8">
        <v>10</v>
      </c>
      <c r="J7" s="8">
        <v>180</v>
      </c>
      <c r="K7" s="8">
        <v>270</v>
      </c>
      <c r="L7" s="8">
        <v>50</v>
      </c>
    </row>
    <row r="8" spans="1:12" x14ac:dyDescent="0.15">
      <c r="A8" s="8" t="s">
        <v>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15">
      <c r="A9" s="8" t="s">
        <v>65</v>
      </c>
      <c r="B9" s="8" t="s">
        <v>432</v>
      </c>
      <c r="C9" s="8" t="s">
        <v>433</v>
      </c>
      <c r="D9" s="8">
        <v>2010</v>
      </c>
      <c r="E9" s="8" t="b">
        <v>0</v>
      </c>
      <c r="F9" s="8">
        <v>85</v>
      </c>
      <c r="G9" s="8">
        <v>113</v>
      </c>
      <c r="H9" s="8" t="s">
        <v>434</v>
      </c>
      <c r="I9" s="8" t="s">
        <v>69</v>
      </c>
      <c r="J9" s="8" t="s">
        <v>6</v>
      </c>
      <c r="K9" s="8" t="s">
        <v>7</v>
      </c>
      <c r="L9" s="8"/>
    </row>
    <row r="10" spans="1:12" x14ac:dyDescent="0.15">
      <c r="A10" s="8" t="s">
        <v>65</v>
      </c>
      <c r="B10" s="8" t="s">
        <v>66</v>
      </c>
      <c r="C10" s="8" t="s">
        <v>67</v>
      </c>
      <c r="D10" s="9">
        <v>2010</v>
      </c>
      <c r="E10" s="8" t="b">
        <v>0</v>
      </c>
      <c r="F10" s="8">
        <v>125</v>
      </c>
      <c r="G10" s="8">
        <v>113</v>
      </c>
      <c r="H10" s="8" t="s">
        <v>68</v>
      </c>
      <c r="I10" s="8" t="s">
        <v>69</v>
      </c>
      <c r="J10" s="8" t="s">
        <v>6</v>
      </c>
      <c r="K10" s="8" t="s">
        <v>7</v>
      </c>
      <c r="L10" s="8"/>
    </row>
    <row r="11" spans="1:12" x14ac:dyDescent="0.15">
      <c r="A11" s="8" t="s">
        <v>8</v>
      </c>
      <c r="B11" s="8" t="s">
        <v>70</v>
      </c>
      <c r="C11" s="8" t="s">
        <v>71</v>
      </c>
      <c r="D11" s="9">
        <v>2010</v>
      </c>
      <c r="E11" s="8" t="b">
        <v>0</v>
      </c>
      <c r="F11" s="8" t="s">
        <v>72</v>
      </c>
      <c r="G11" s="8">
        <v>0</v>
      </c>
      <c r="H11" s="8">
        <v>0</v>
      </c>
      <c r="I11" s="8">
        <v>15</v>
      </c>
      <c r="J11" s="8">
        <v>105</v>
      </c>
      <c r="K11" s="8"/>
      <c r="L11" s="8"/>
    </row>
    <row r="12" spans="1:12" x14ac:dyDescent="0.15">
      <c r="A12" s="8" t="s">
        <v>65</v>
      </c>
      <c r="B12" s="8" t="s">
        <v>73</v>
      </c>
      <c r="C12" s="8" t="s">
        <v>74</v>
      </c>
      <c r="D12" s="9">
        <v>2010</v>
      </c>
      <c r="E12" s="8" t="b">
        <v>0</v>
      </c>
      <c r="F12" s="8">
        <v>210</v>
      </c>
      <c r="G12" s="8">
        <v>113</v>
      </c>
      <c r="H12" s="8" t="s">
        <v>435</v>
      </c>
      <c r="I12" s="8" t="s">
        <v>69</v>
      </c>
      <c r="J12" s="8" t="s">
        <v>6</v>
      </c>
      <c r="K12" s="8" t="s">
        <v>7</v>
      </c>
      <c r="L12" s="8"/>
    </row>
    <row r="13" spans="1:12" x14ac:dyDescent="0.15">
      <c r="A13" s="8" t="s">
        <v>65</v>
      </c>
      <c r="B13" s="8" t="s">
        <v>75</v>
      </c>
      <c r="C13" s="8" t="s">
        <v>76</v>
      </c>
      <c r="D13" s="9">
        <v>2010</v>
      </c>
      <c r="E13" s="8" t="b">
        <v>0</v>
      </c>
      <c r="F13" s="8">
        <v>250</v>
      </c>
      <c r="G13" s="8">
        <v>113</v>
      </c>
      <c r="H13" s="8" t="s">
        <v>68</v>
      </c>
      <c r="I13" s="8" t="s">
        <v>69</v>
      </c>
      <c r="J13" s="8" t="s">
        <v>6</v>
      </c>
      <c r="K13" s="8" t="s">
        <v>7</v>
      </c>
      <c r="L13" s="8"/>
    </row>
    <row r="14" spans="1:12" x14ac:dyDescent="0.15">
      <c r="A14" s="8" t="s">
        <v>65</v>
      </c>
      <c r="B14" s="8" t="s">
        <v>436</v>
      </c>
      <c r="C14" s="8" t="s">
        <v>437</v>
      </c>
      <c r="D14" s="9">
        <v>2010</v>
      </c>
      <c r="E14" s="8" t="b">
        <v>0</v>
      </c>
      <c r="F14" s="8">
        <v>210</v>
      </c>
      <c r="G14" s="8">
        <v>131</v>
      </c>
      <c r="H14" s="8" t="s">
        <v>438</v>
      </c>
      <c r="I14" s="8" t="s">
        <v>69</v>
      </c>
      <c r="J14" s="8" t="s">
        <v>6</v>
      </c>
      <c r="K14" s="8" t="s">
        <v>7</v>
      </c>
      <c r="L14" s="8"/>
    </row>
    <row r="15" spans="1:12" x14ac:dyDescent="0.15">
      <c r="A15" s="8" t="s">
        <v>65</v>
      </c>
      <c r="B15" s="8" t="s">
        <v>439</v>
      </c>
      <c r="C15" s="8" t="s">
        <v>440</v>
      </c>
      <c r="D15" s="9">
        <v>2010</v>
      </c>
      <c r="E15" s="8" t="b">
        <v>0</v>
      </c>
      <c r="F15" s="8">
        <v>250</v>
      </c>
      <c r="G15" s="8">
        <v>131</v>
      </c>
      <c r="H15" s="8">
        <v>999999</v>
      </c>
      <c r="I15" s="8" t="s">
        <v>69</v>
      </c>
      <c r="J15" s="8" t="s">
        <v>6</v>
      </c>
      <c r="K15" s="8" t="s">
        <v>7</v>
      </c>
      <c r="L15" s="8"/>
    </row>
    <row r="16" spans="1:12" x14ac:dyDescent="0.15">
      <c r="A16" s="8" t="s">
        <v>8</v>
      </c>
      <c r="B16" s="8" t="s">
        <v>441</v>
      </c>
      <c r="C16" s="8" t="s">
        <v>77</v>
      </c>
      <c r="D16" s="8">
        <v>2020</v>
      </c>
      <c r="E16" s="8" t="b">
        <v>0</v>
      </c>
      <c r="F16" s="8" t="s">
        <v>72</v>
      </c>
      <c r="G16" s="8">
        <v>0</v>
      </c>
      <c r="H16" s="8">
        <v>0</v>
      </c>
      <c r="I16" s="8">
        <v>47</v>
      </c>
      <c r="J16" s="8">
        <v>137</v>
      </c>
      <c r="K16" s="8"/>
      <c r="L16" s="8"/>
    </row>
    <row r="17" spans="1:12" x14ac:dyDescent="0.15">
      <c r="A17" s="8" t="s">
        <v>65</v>
      </c>
      <c r="B17" s="8" t="s">
        <v>442</v>
      </c>
      <c r="C17" s="8" t="s">
        <v>443</v>
      </c>
      <c r="D17" s="9">
        <v>2010</v>
      </c>
      <c r="E17" s="8" t="b">
        <v>0</v>
      </c>
      <c r="F17" s="8">
        <v>85</v>
      </c>
      <c r="G17" s="8">
        <v>151</v>
      </c>
      <c r="H17" s="8" t="s">
        <v>444</v>
      </c>
      <c r="I17" s="8" t="s">
        <v>69</v>
      </c>
      <c r="J17" s="8" t="s">
        <v>6</v>
      </c>
      <c r="K17" s="8" t="s">
        <v>7</v>
      </c>
      <c r="L17" s="8"/>
    </row>
    <row r="18" spans="1:12" x14ac:dyDescent="0.15">
      <c r="A18" s="8" t="s">
        <v>65</v>
      </c>
      <c r="B18" s="8" t="s">
        <v>445</v>
      </c>
      <c r="C18" s="8" t="s">
        <v>78</v>
      </c>
      <c r="D18" s="9">
        <v>2010</v>
      </c>
      <c r="E18" s="8" t="b">
        <v>0</v>
      </c>
      <c r="F18" s="8">
        <v>125</v>
      </c>
      <c r="G18" s="8">
        <v>151</v>
      </c>
      <c r="H18" s="8" t="s">
        <v>68</v>
      </c>
      <c r="I18" s="8" t="s">
        <v>69</v>
      </c>
      <c r="J18" s="8" t="s">
        <v>6</v>
      </c>
      <c r="K18" s="8" t="s">
        <v>7</v>
      </c>
      <c r="L18" s="8"/>
    </row>
    <row r="19" spans="1:12" x14ac:dyDescent="0.15">
      <c r="A19" s="8" t="s">
        <v>65</v>
      </c>
      <c r="B19" s="8" t="s">
        <v>446</v>
      </c>
      <c r="C19" s="8" t="s">
        <v>447</v>
      </c>
      <c r="D19" s="9">
        <v>2010</v>
      </c>
      <c r="E19" s="8" t="b">
        <v>0</v>
      </c>
      <c r="F19" s="8">
        <v>85</v>
      </c>
      <c r="G19" s="8">
        <v>132</v>
      </c>
      <c r="H19" s="8" t="s">
        <v>448</v>
      </c>
      <c r="I19" s="8" t="s">
        <v>69</v>
      </c>
      <c r="J19" s="8" t="s">
        <v>6</v>
      </c>
      <c r="K19" s="8" t="s">
        <v>7</v>
      </c>
      <c r="L19" s="8"/>
    </row>
    <row r="20" spans="1:12" x14ac:dyDescent="0.15">
      <c r="A20" s="8" t="s">
        <v>65</v>
      </c>
      <c r="B20" s="8" t="s">
        <v>449</v>
      </c>
      <c r="C20" s="8" t="s">
        <v>450</v>
      </c>
      <c r="D20" s="9">
        <v>2010</v>
      </c>
      <c r="E20" s="8" t="b">
        <v>0</v>
      </c>
      <c r="F20" s="8">
        <v>125</v>
      </c>
      <c r="G20" s="8">
        <v>132</v>
      </c>
      <c r="H20" s="8" t="s">
        <v>451</v>
      </c>
      <c r="I20" s="8" t="s">
        <v>69</v>
      </c>
      <c r="J20" s="8" t="s">
        <v>6</v>
      </c>
      <c r="K20" s="8" t="s">
        <v>7</v>
      </c>
      <c r="L20" s="8"/>
    </row>
    <row r="21" spans="1:12" x14ac:dyDescent="0.15">
      <c r="A21" s="8" t="s">
        <v>79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15">
      <c r="A22" s="8" t="s">
        <v>80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15">
      <c r="A23" s="8" t="s">
        <v>65</v>
      </c>
      <c r="B23" s="8" t="s">
        <v>81</v>
      </c>
      <c r="C23" s="8" t="s">
        <v>82</v>
      </c>
      <c r="D23" s="9">
        <v>2010</v>
      </c>
      <c r="E23" s="8" t="b">
        <v>1</v>
      </c>
      <c r="F23" s="8">
        <v>63</v>
      </c>
      <c r="G23" s="8">
        <v>193</v>
      </c>
      <c r="H23" s="8" t="s">
        <v>83</v>
      </c>
      <c r="I23" s="8" t="s">
        <v>69</v>
      </c>
      <c r="J23" s="8" t="s">
        <v>6</v>
      </c>
      <c r="K23" s="8" t="s">
        <v>7</v>
      </c>
      <c r="L23" s="8"/>
    </row>
    <row r="24" spans="1:12" x14ac:dyDescent="0.15">
      <c r="A24" s="8" t="s">
        <v>65</v>
      </c>
      <c r="B24" s="8" t="s">
        <v>84</v>
      </c>
      <c r="C24" s="8" t="s">
        <v>85</v>
      </c>
      <c r="D24" s="9">
        <v>2010</v>
      </c>
      <c r="E24" s="8" t="b">
        <v>1</v>
      </c>
      <c r="F24" s="8">
        <v>63</v>
      </c>
      <c r="G24" s="8">
        <v>212</v>
      </c>
      <c r="H24" s="8" t="s">
        <v>83</v>
      </c>
      <c r="I24" s="8" t="s">
        <v>69</v>
      </c>
      <c r="J24" s="8" t="s">
        <v>6</v>
      </c>
      <c r="K24" s="8" t="s">
        <v>7</v>
      </c>
      <c r="L24" s="8"/>
    </row>
    <row r="25" spans="1:12" x14ac:dyDescent="0.15">
      <c r="A25" s="8" t="s">
        <v>65</v>
      </c>
      <c r="B25" s="8" t="s">
        <v>86</v>
      </c>
      <c r="C25" s="8" t="s">
        <v>87</v>
      </c>
      <c r="D25" s="9">
        <v>2010</v>
      </c>
      <c r="E25" s="8" t="b">
        <v>1</v>
      </c>
      <c r="F25" s="8">
        <v>63</v>
      </c>
      <c r="G25" s="8">
        <v>231</v>
      </c>
      <c r="H25" s="8" t="s">
        <v>83</v>
      </c>
      <c r="I25" s="8" t="s">
        <v>69</v>
      </c>
      <c r="J25" s="8" t="s">
        <v>6</v>
      </c>
      <c r="K25" s="8" t="s">
        <v>7</v>
      </c>
      <c r="L25" s="8"/>
    </row>
    <row r="26" spans="1:12" x14ac:dyDescent="0.15">
      <c r="A26" s="8" t="s">
        <v>65</v>
      </c>
      <c r="B26" s="8" t="s">
        <v>88</v>
      </c>
      <c r="C26" s="8" t="s">
        <v>89</v>
      </c>
      <c r="D26" s="9">
        <v>2010</v>
      </c>
      <c r="E26" s="8" t="b">
        <v>1</v>
      </c>
      <c r="F26" s="8">
        <v>223</v>
      </c>
      <c r="G26" s="8">
        <v>193</v>
      </c>
      <c r="H26" s="8" t="s">
        <v>83</v>
      </c>
      <c r="I26" s="8" t="s">
        <v>69</v>
      </c>
      <c r="J26" s="8" t="s">
        <v>6</v>
      </c>
      <c r="K26" s="8" t="s">
        <v>7</v>
      </c>
      <c r="L26" s="8"/>
    </row>
    <row r="27" spans="1:12" x14ac:dyDescent="0.15">
      <c r="A27" s="8" t="s">
        <v>65</v>
      </c>
      <c r="B27" s="8" t="s">
        <v>90</v>
      </c>
      <c r="C27" s="8" t="s">
        <v>91</v>
      </c>
      <c r="D27" s="9">
        <v>2010</v>
      </c>
      <c r="E27" s="8" t="b">
        <v>1</v>
      </c>
      <c r="F27" s="8">
        <v>223</v>
      </c>
      <c r="G27" s="8">
        <v>212</v>
      </c>
      <c r="H27" s="8" t="s">
        <v>83</v>
      </c>
      <c r="I27" s="8" t="s">
        <v>69</v>
      </c>
      <c r="J27" s="8" t="s">
        <v>6</v>
      </c>
      <c r="K27" s="8" t="s">
        <v>7</v>
      </c>
      <c r="L27" s="8"/>
    </row>
    <row r="28" spans="1:12" x14ac:dyDescent="0.15">
      <c r="A28" s="8" t="s">
        <v>65</v>
      </c>
      <c r="B28" s="8" t="s">
        <v>92</v>
      </c>
      <c r="C28" s="8" t="s">
        <v>93</v>
      </c>
      <c r="D28" s="9">
        <v>2010</v>
      </c>
      <c r="E28" s="8" t="b">
        <v>1</v>
      </c>
      <c r="F28" s="8">
        <v>223</v>
      </c>
      <c r="G28" s="8">
        <v>231</v>
      </c>
      <c r="H28" s="8" t="s">
        <v>83</v>
      </c>
      <c r="I28" s="8" t="s">
        <v>69</v>
      </c>
      <c r="J28" s="8" t="s">
        <v>6</v>
      </c>
      <c r="K28" s="8" t="s">
        <v>7</v>
      </c>
      <c r="L28" s="8"/>
    </row>
    <row r="29" spans="1:12" x14ac:dyDescent="0.15">
      <c r="A29" s="8" t="s">
        <v>94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15">
      <c r="A30" s="8" t="s">
        <v>65</v>
      </c>
      <c r="B30" s="8" t="s">
        <v>95</v>
      </c>
      <c r="C30" s="8" t="s">
        <v>96</v>
      </c>
      <c r="D30" s="9">
        <v>2010</v>
      </c>
      <c r="E30" s="8" t="b">
        <v>1</v>
      </c>
      <c r="F30" s="8">
        <v>23</v>
      </c>
      <c r="G30" s="8">
        <v>193</v>
      </c>
      <c r="H30" s="8" t="s">
        <v>97</v>
      </c>
      <c r="I30" s="8" t="s">
        <v>69</v>
      </c>
      <c r="J30" s="8" t="s">
        <v>6</v>
      </c>
      <c r="K30" s="8" t="s">
        <v>7</v>
      </c>
      <c r="L30" s="8"/>
    </row>
    <row r="31" spans="1:12" x14ac:dyDescent="0.15">
      <c r="A31" s="8" t="s">
        <v>65</v>
      </c>
      <c r="B31" s="8" t="s">
        <v>98</v>
      </c>
      <c r="C31" s="8" t="s">
        <v>99</v>
      </c>
      <c r="D31" s="9">
        <v>2010</v>
      </c>
      <c r="E31" s="8" t="b">
        <v>1</v>
      </c>
      <c r="F31" s="8">
        <v>23</v>
      </c>
      <c r="G31" s="8">
        <v>212</v>
      </c>
      <c r="H31" s="8" t="s">
        <v>100</v>
      </c>
      <c r="I31" s="8" t="s">
        <v>69</v>
      </c>
      <c r="J31" s="8" t="s">
        <v>6</v>
      </c>
      <c r="K31" s="8" t="s">
        <v>7</v>
      </c>
      <c r="L31" s="8"/>
    </row>
    <row r="32" spans="1:12" x14ac:dyDescent="0.15">
      <c r="A32" s="8" t="s">
        <v>65</v>
      </c>
      <c r="B32" s="8" t="s">
        <v>101</v>
      </c>
      <c r="C32" s="8" t="s">
        <v>102</v>
      </c>
      <c r="D32" s="9">
        <v>2010</v>
      </c>
      <c r="E32" s="8" t="b">
        <v>1</v>
      </c>
      <c r="F32" s="8">
        <v>23</v>
      </c>
      <c r="G32" s="8">
        <v>231</v>
      </c>
      <c r="H32" s="8" t="s">
        <v>103</v>
      </c>
      <c r="I32" s="8" t="s">
        <v>69</v>
      </c>
      <c r="J32" s="8" t="s">
        <v>6</v>
      </c>
      <c r="K32" s="8" t="s">
        <v>7</v>
      </c>
      <c r="L32" s="8"/>
    </row>
    <row r="33" spans="1:12" x14ac:dyDescent="0.15">
      <c r="A33" s="8" t="s">
        <v>65</v>
      </c>
      <c r="B33" s="8" t="s">
        <v>104</v>
      </c>
      <c r="C33" s="8" t="s">
        <v>105</v>
      </c>
      <c r="D33" s="9">
        <v>2010</v>
      </c>
      <c r="E33" s="8" t="b">
        <v>1</v>
      </c>
      <c r="F33" s="8">
        <v>183</v>
      </c>
      <c r="G33" s="8">
        <v>193</v>
      </c>
      <c r="H33" s="8" t="s">
        <v>106</v>
      </c>
      <c r="I33" s="8" t="s">
        <v>69</v>
      </c>
      <c r="J33" s="8" t="s">
        <v>6</v>
      </c>
      <c r="K33" s="8" t="s">
        <v>7</v>
      </c>
      <c r="L33" s="8"/>
    </row>
    <row r="34" spans="1:12" x14ac:dyDescent="0.15">
      <c r="A34" s="8" t="s">
        <v>65</v>
      </c>
      <c r="B34" s="8" t="s">
        <v>107</v>
      </c>
      <c r="C34" s="8" t="s">
        <v>108</v>
      </c>
      <c r="D34" s="9">
        <v>2010</v>
      </c>
      <c r="E34" s="8" t="b">
        <v>1</v>
      </c>
      <c r="F34" s="8">
        <v>183</v>
      </c>
      <c r="G34" s="8">
        <v>212</v>
      </c>
      <c r="H34" s="8" t="s">
        <v>109</v>
      </c>
      <c r="I34" s="8" t="s">
        <v>69</v>
      </c>
      <c r="J34" s="8" t="s">
        <v>6</v>
      </c>
      <c r="K34" s="8" t="s">
        <v>7</v>
      </c>
      <c r="L34" s="8"/>
    </row>
    <row r="35" spans="1:12" x14ac:dyDescent="0.15">
      <c r="A35" s="8" t="s">
        <v>65</v>
      </c>
      <c r="B35" s="8" t="s">
        <v>110</v>
      </c>
      <c r="C35" s="8" t="s">
        <v>111</v>
      </c>
      <c r="D35" s="9">
        <v>2010</v>
      </c>
      <c r="E35" s="8" t="b">
        <v>1</v>
      </c>
      <c r="F35" s="8">
        <v>183</v>
      </c>
      <c r="G35" s="8">
        <v>231</v>
      </c>
      <c r="H35" s="8" t="s">
        <v>112</v>
      </c>
      <c r="I35" s="8" t="s">
        <v>69</v>
      </c>
      <c r="J35" s="8" t="s">
        <v>6</v>
      </c>
      <c r="K35" s="8" t="s">
        <v>7</v>
      </c>
      <c r="L35" s="8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104775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15"/>
  <sheetViews>
    <sheetView workbookViewId="0">
      <selection activeCell="F8" sqref="F8"/>
    </sheetView>
  </sheetViews>
  <sheetFormatPr defaultRowHeight="13.5" x14ac:dyDescent="0.15"/>
  <sheetData>
    <row r="1" spans="1:16" x14ac:dyDescent="0.15">
      <c r="A1" t="s">
        <v>197</v>
      </c>
    </row>
    <row r="2" spans="1:16" x14ac:dyDescent="0.15">
      <c r="A2" t="s">
        <v>0</v>
      </c>
    </row>
    <row r="3" spans="1:16" x14ac:dyDescent="0.15">
      <c r="A3" t="s">
        <v>196</v>
      </c>
    </row>
    <row r="4" spans="1:16" x14ac:dyDescent="0.15">
      <c r="A4" t="s">
        <v>0</v>
      </c>
    </row>
    <row r="7" spans="1:16" x14ac:dyDescent="0.15">
      <c r="A7" t="s">
        <v>165</v>
      </c>
    </row>
    <row r="8" spans="1:16" x14ac:dyDescent="0.15">
      <c r="A8" t="s">
        <v>349</v>
      </c>
      <c r="B8" t="s">
        <v>164</v>
      </c>
      <c r="C8" t="s">
        <v>163</v>
      </c>
      <c r="D8">
        <v>1</v>
      </c>
      <c r="E8" t="b">
        <v>1</v>
      </c>
      <c r="F8" t="s">
        <v>162</v>
      </c>
      <c r="G8">
        <v>640</v>
      </c>
      <c r="H8">
        <v>480</v>
      </c>
      <c r="I8">
        <v>0</v>
      </c>
      <c r="J8">
        <v>0</v>
      </c>
    </row>
    <row r="10" spans="1:16" x14ac:dyDescent="0.15">
      <c r="A10" t="s">
        <v>150</v>
      </c>
    </row>
    <row r="11" spans="1:16" x14ac:dyDescent="0.15">
      <c r="A11" t="s">
        <v>17</v>
      </c>
      <c r="B11" t="s">
        <v>18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K11" t="s">
        <v>19</v>
      </c>
      <c r="L11" t="s">
        <v>20</v>
      </c>
      <c r="M11" t="s">
        <v>21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23</v>
      </c>
      <c r="C12" t="s">
        <v>149</v>
      </c>
      <c r="D12">
        <v>2001</v>
      </c>
      <c r="E12" t="b">
        <v>0</v>
      </c>
      <c r="F12" t="s">
        <v>24</v>
      </c>
      <c r="G12">
        <v>48</v>
      </c>
      <c r="H12">
        <v>30</v>
      </c>
      <c r="I12" s="9">
        <v>425</v>
      </c>
      <c r="J12" s="9">
        <v>151</v>
      </c>
      <c r="K12" t="s">
        <v>25</v>
      </c>
      <c r="L12">
        <v>0</v>
      </c>
      <c r="M12">
        <v>0</v>
      </c>
      <c r="N12" t="s">
        <v>5</v>
      </c>
      <c r="O12" t="s">
        <v>6</v>
      </c>
      <c r="P12" t="s">
        <v>7</v>
      </c>
    </row>
    <row r="13" spans="1:16" x14ac:dyDescent="0.15">
      <c r="A13" t="s">
        <v>22</v>
      </c>
      <c r="B13" t="s">
        <v>26</v>
      </c>
      <c r="C13" t="s">
        <v>148</v>
      </c>
      <c r="D13">
        <v>2001</v>
      </c>
      <c r="E13" t="b">
        <v>0</v>
      </c>
      <c r="F13" t="s">
        <v>24</v>
      </c>
      <c r="G13">
        <v>48</v>
      </c>
      <c r="H13">
        <v>30</v>
      </c>
      <c r="I13" s="9">
        <v>473</v>
      </c>
      <c r="J13" s="9">
        <v>200</v>
      </c>
      <c r="K13" t="s">
        <v>25</v>
      </c>
      <c r="L13">
        <v>0</v>
      </c>
      <c r="M13">
        <v>0</v>
      </c>
      <c r="N13" t="s">
        <v>5</v>
      </c>
      <c r="O13" t="s">
        <v>6</v>
      </c>
      <c r="P13" t="s">
        <v>7</v>
      </c>
    </row>
    <row r="14" spans="1:16" x14ac:dyDescent="0.15">
      <c r="A14" t="s">
        <v>22</v>
      </c>
      <c r="B14" t="s">
        <v>27</v>
      </c>
      <c r="C14" t="s">
        <v>147</v>
      </c>
      <c r="D14">
        <v>2001</v>
      </c>
      <c r="E14" t="b">
        <v>0</v>
      </c>
      <c r="F14" t="s">
        <v>24</v>
      </c>
      <c r="G14">
        <v>48</v>
      </c>
      <c r="H14">
        <v>30</v>
      </c>
      <c r="I14" s="9">
        <v>425</v>
      </c>
      <c r="J14" s="9">
        <v>251</v>
      </c>
      <c r="K14" t="s">
        <v>25</v>
      </c>
      <c r="L14">
        <v>0</v>
      </c>
      <c r="M14">
        <v>0</v>
      </c>
      <c r="N14" t="s">
        <v>5</v>
      </c>
      <c r="O14" t="s">
        <v>6</v>
      </c>
      <c r="P14" t="s">
        <v>7</v>
      </c>
    </row>
    <row r="15" spans="1:16" x14ac:dyDescent="0.15">
      <c r="A15" t="s">
        <v>22</v>
      </c>
      <c r="B15" t="s">
        <v>28</v>
      </c>
      <c r="C15" t="s">
        <v>146</v>
      </c>
      <c r="D15">
        <v>2001</v>
      </c>
      <c r="E15" t="b">
        <v>0</v>
      </c>
      <c r="F15" t="s">
        <v>24</v>
      </c>
      <c r="G15">
        <v>48</v>
      </c>
      <c r="H15">
        <v>30</v>
      </c>
      <c r="I15" s="9">
        <v>375</v>
      </c>
      <c r="J15" s="9">
        <v>201</v>
      </c>
      <c r="K15" t="s">
        <v>25</v>
      </c>
      <c r="L15">
        <v>0</v>
      </c>
      <c r="M15">
        <v>0</v>
      </c>
      <c r="N15" t="s">
        <v>5</v>
      </c>
      <c r="O15" t="s">
        <v>6</v>
      </c>
      <c r="P15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1"/>
  <sheetViews>
    <sheetView workbookViewId="0">
      <selection activeCell="C18" sqref="C18"/>
    </sheetView>
  </sheetViews>
  <sheetFormatPr defaultRowHeight="13.5" x14ac:dyDescent="0.15"/>
  <cols>
    <col min="1" max="1" width="26.375" bestFit="1" customWidth="1"/>
    <col min="3" max="3" width="33.375" bestFit="1" customWidth="1"/>
  </cols>
  <sheetData>
    <row r="1" spans="1:14" x14ac:dyDescent="0.15">
      <c r="A1" t="s">
        <v>145</v>
      </c>
    </row>
    <row r="6" spans="1:14" x14ac:dyDescent="0.15">
      <c r="A6" s="9" t="s">
        <v>60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15">
      <c r="A7" s="9" t="s">
        <v>61</v>
      </c>
      <c r="B7" s="9" t="s">
        <v>128</v>
      </c>
      <c r="C7" s="9" t="s">
        <v>127</v>
      </c>
      <c r="D7" s="9">
        <v>2000</v>
      </c>
      <c r="E7" s="9" t="b">
        <v>1</v>
      </c>
      <c r="F7" s="9" t="s">
        <v>58</v>
      </c>
      <c r="G7" s="9">
        <v>15</v>
      </c>
      <c r="H7" s="9">
        <v>15</v>
      </c>
      <c r="I7" s="9">
        <v>10</v>
      </c>
      <c r="J7" s="9">
        <v>300</v>
      </c>
      <c r="K7" s="9">
        <v>230</v>
      </c>
      <c r="L7" s="9">
        <v>45</v>
      </c>
      <c r="M7" s="9"/>
      <c r="N7" s="9"/>
    </row>
    <row r="9" spans="1:14" x14ac:dyDescent="0.15">
      <c r="A9" s="9" t="s">
        <v>65</v>
      </c>
      <c r="B9" s="9" t="s">
        <v>40</v>
      </c>
      <c r="C9" s="9" t="s">
        <v>126</v>
      </c>
      <c r="D9" s="9">
        <v>2001</v>
      </c>
      <c r="E9" s="9" t="b">
        <v>1</v>
      </c>
      <c r="F9" s="9">
        <v>23</v>
      </c>
      <c r="G9" s="9">
        <v>314</v>
      </c>
      <c r="H9" s="9" t="s">
        <v>68</v>
      </c>
      <c r="I9" s="9" t="s">
        <v>69</v>
      </c>
      <c r="J9" s="9" t="s">
        <v>6</v>
      </c>
      <c r="K9" s="9" t="s">
        <v>7</v>
      </c>
      <c r="L9" s="9"/>
      <c r="M9" s="9">
        <v>13</v>
      </c>
      <c r="N9" s="9">
        <v>14</v>
      </c>
    </row>
    <row r="10" spans="1:14" x14ac:dyDescent="0.15">
      <c r="A10" s="9" t="s">
        <v>65</v>
      </c>
      <c r="B10" s="9" t="s">
        <v>41</v>
      </c>
      <c r="C10" s="9" t="s">
        <v>125</v>
      </c>
      <c r="D10" s="9">
        <v>2001</v>
      </c>
      <c r="E10" s="9" t="b">
        <v>1</v>
      </c>
      <c r="F10" s="9">
        <v>23</v>
      </c>
      <c r="G10" s="9">
        <v>331</v>
      </c>
      <c r="H10" s="9" t="s">
        <v>68</v>
      </c>
      <c r="I10" s="9" t="s">
        <v>69</v>
      </c>
      <c r="J10" s="9" t="s">
        <v>6</v>
      </c>
      <c r="K10" s="9" t="s">
        <v>7</v>
      </c>
      <c r="L10" s="9"/>
      <c r="M10" s="9">
        <v>13</v>
      </c>
      <c r="N10" s="9">
        <v>17</v>
      </c>
    </row>
    <row r="11" spans="1:14" x14ac:dyDescent="0.15">
      <c r="A11" s="9" t="s">
        <v>65</v>
      </c>
      <c r="B11" s="9" t="s">
        <v>42</v>
      </c>
      <c r="C11" s="9" t="s">
        <v>124</v>
      </c>
      <c r="D11" s="9">
        <v>2001</v>
      </c>
      <c r="E11" s="9" t="b">
        <v>1</v>
      </c>
      <c r="F11" s="9">
        <v>23</v>
      </c>
      <c r="G11" s="9">
        <v>348</v>
      </c>
      <c r="H11" s="9" t="s">
        <v>68</v>
      </c>
      <c r="I11" s="9" t="s">
        <v>69</v>
      </c>
      <c r="J11" s="9" t="s">
        <v>6</v>
      </c>
      <c r="K11" s="9" t="s">
        <v>7</v>
      </c>
      <c r="L11" s="9"/>
      <c r="M11" s="9">
        <v>13</v>
      </c>
      <c r="N11" s="9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104775</xdr:colOff>
                    <xdr:row>1</xdr:row>
                    <xdr:rowOff>85725</xdr:rowOff>
                  </from>
                  <to>
                    <xdr:col>5</xdr:col>
                    <xdr:colOff>200025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F12" sqref="A12:F14"/>
    </sheetView>
  </sheetViews>
  <sheetFormatPr defaultRowHeight="13.5" x14ac:dyDescent="0.15"/>
  <cols>
    <col min="1" max="1" width="35.125" bestFit="1" customWidth="1"/>
    <col min="2" max="2" width="49.75" bestFit="1" customWidth="1"/>
    <col min="3" max="3" width="16.125" bestFit="1" customWidth="1"/>
    <col min="5" max="5" width="12.125" bestFit="1" customWidth="1"/>
    <col min="6" max="6" width="38" bestFit="1" customWidth="1"/>
    <col min="7" max="8" width="18.625" bestFit="1" customWidth="1"/>
    <col min="9" max="10" width="10.125" bestFit="1" customWidth="1"/>
    <col min="11" max="11" width="11.75" bestFit="1" customWidth="1"/>
    <col min="12" max="13" width="19.75" bestFit="1" customWidth="1"/>
    <col min="15" max="15" width="24.5" bestFit="1" customWidth="1"/>
    <col min="16" max="17" width="18.375" bestFit="1" customWidth="1"/>
    <col min="18" max="18" width="32.375" bestFit="1" customWidth="1"/>
    <col min="19" max="20" width="16.25" bestFit="1" customWidth="1"/>
    <col min="21" max="21" width="11.125" bestFit="1" customWidth="1"/>
    <col min="22" max="23" width="10.375" bestFit="1" customWidth="1"/>
    <col min="24" max="24" width="8.875" bestFit="1" customWidth="1"/>
    <col min="25" max="25" width="10.875" bestFit="1" customWidth="1"/>
  </cols>
  <sheetData>
    <row r="1" spans="1:25" x14ac:dyDescent="0.15">
      <c r="A1" t="s">
        <v>167</v>
      </c>
    </row>
    <row r="2" spans="1:25" x14ac:dyDescent="0.15">
      <c r="A2" t="s">
        <v>0</v>
      </c>
    </row>
    <row r="3" spans="1:25" x14ac:dyDescent="0.15">
      <c r="A3" t="s">
        <v>166</v>
      </c>
    </row>
    <row r="4" spans="1:25" x14ac:dyDescent="0.15">
      <c r="A4" t="s">
        <v>0</v>
      </c>
    </row>
    <row r="7" spans="1:25" x14ac:dyDescent="0.15">
      <c r="A7" t="s">
        <v>165</v>
      </c>
    </row>
    <row r="8" spans="1:25" x14ac:dyDescent="0.15">
      <c r="A8" t="s">
        <v>349</v>
      </c>
      <c r="B8" t="s">
        <v>164</v>
      </c>
      <c r="C8" t="s">
        <v>163</v>
      </c>
      <c r="D8">
        <v>1</v>
      </c>
      <c r="E8" t="b">
        <v>1</v>
      </c>
      <c r="F8" t="s">
        <v>162</v>
      </c>
      <c r="G8">
        <v>640</v>
      </c>
      <c r="H8">
        <v>480</v>
      </c>
      <c r="I8">
        <v>0</v>
      </c>
      <c r="J8">
        <v>0</v>
      </c>
    </row>
    <row r="10" spans="1:25" x14ac:dyDescent="0.15">
      <c r="A10" t="s">
        <v>161</v>
      </c>
    </row>
    <row r="11" spans="1:25" x14ac:dyDescent="0.15">
      <c r="A11" t="s">
        <v>43</v>
      </c>
      <c r="B11" t="s">
        <v>44</v>
      </c>
      <c r="C11" t="s">
        <v>9</v>
      </c>
      <c r="D11" t="s">
        <v>10</v>
      </c>
      <c r="E11" t="s">
        <v>11</v>
      </c>
      <c r="F11" t="s">
        <v>45</v>
      </c>
      <c r="G11" t="s">
        <v>46</v>
      </c>
      <c r="H11" t="s">
        <v>47</v>
      </c>
      <c r="I11" t="s">
        <v>15</v>
      </c>
      <c r="J11" t="s">
        <v>16</v>
      </c>
      <c r="K11" t="s">
        <v>38</v>
      </c>
      <c r="L11" t="s">
        <v>39</v>
      </c>
      <c r="M11" t="s">
        <v>48</v>
      </c>
      <c r="N11" t="s">
        <v>49</v>
      </c>
      <c r="O11" t="s">
        <v>50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160</v>
      </c>
      <c r="W11" t="s">
        <v>159</v>
      </c>
    </row>
    <row r="12" spans="1:25" x14ac:dyDescent="0.15">
      <c r="A12" t="s">
        <v>57</v>
      </c>
      <c r="B12" t="s">
        <v>158</v>
      </c>
      <c r="C12" t="s">
        <v>157</v>
      </c>
      <c r="D12">
        <v>2001</v>
      </c>
      <c r="E12" t="b">
        <v>1</v>
      </c>
      <c r="F12" s="6" t="s">
        <v>58</v>
      </c>
      <c r="G12" s="6">
        <v>15</v>
      </c>
      <c r="H12" s="6">
        <v>15</v>
      </c>
      <c r="I12" s="6">
        <v>20</v>
      </c>
      <c r="J12" s="6">
        <v>100</v>
      </c>
      <c r="K12" s="6">
        <v>12</v>
      </c>
      <c r="L12" s="6">
        <v>17</v>
      </c>
      <c r="M12" s="6">
        <v>220</v>
      </c>
      <c r="N12" s="6">
        <v>260</v>
      </c>
      <c r="O12" s="6" t="s">
        <v>426</v>
      </c>
      <c r="P12" s="6">
        <v>290</v>
      </c>
      <c r="Q12" s="6">
        <v>25</v>
      </c>
      <c r="R12" s="6" t="s">
        <v>425</v>
      </c>
      <c r="S12" s="6">
        <v>236</v>
      </c>
      <c r="T12" s="6">
        <v>16</v>
      </c>
      <c r="U12" s="6" t="s">
        <v>5</v>
      </c>
      <c r="V12" s="6">
        <v>0</v>
      </c>
      <c r="W12" s="6">
        <v>15</v>
      </c>
      <c r="X12" s="6" t="s">
        <v>6</v>
      </c>
      <c r="Y12" s="6" t="s">
        <v>7</v>
      </c>
    </row>
    <row r="14" spans="1:25" x14ac:dyDescent="0.15">
      <c r="A14" t="s">
        <v>156</v>
      </c>
    </row>
    <row r="15" spans="1:25" x14ac:dyDescent="0.15">
      <c r="A15" t="s">
        <v>17</v>
      </c>
      <c r="B15" t="s">
        <v>18</v>
      </c>
      <c r="C15" t="s">
        <v>9</v>
      </c>
      <c r="D15" t="s">
        <v>10</v>
      </c>
      <c r="E15" t="s">
        <v>11</v>
      </c>
      <c r="F15" t="s">
        <v>12</v>
      </c>
      <c r="G15" t="s">
        <v>13</v>
      </c>
      <c r="H15" t="s">
        <v>14</v>
      </c>
      <c r="I15" t="s">
        <v>15</v>
      </c>
      <c r="J15" t="s">
        <v>16</v>
      </c>
      <c r="K15" t="s">
        <v>19</v>
      </c>
      <c r="L15" t="s">
        <v>20</v>
      </c>
      <c r="M15" t="s">
        <v>21</v>
      </c>
    </row>
    <row r="16" spans="1:25" x14ac:dyDescent="0.15">
      <c r="A16" t="s">
        <v>22</v>
      </c>
      <c r="B16" t="s">
        <v>154</v>
      </c>
      <c r="C16" t="s">
        <v>155</v>
      </c>
      <c r="D16">
        <v>2010</v>
      </c>
      <c r="E16" t="b">
        <v>0</v>
      </c>
      <c r="F16" t="s">
        <v>152</v>
      </c>
      <c r="G16">
        <v>160</v>
      </c>
      <c r="H16">
        <v>25</v>
      </c>
      <c r="I16">
        <v>263</v>
      </c>
      <c r="J16">
        <v>315</v>
      </c>
      <c r="K16" t="s">
        <v>154</v>
      </c>
      <c r="L16">
        <v>20</v>
      </c>
      <c r="M16">
        <v>5</v>
      </c>
      <c r="N16" t="s">
        <v>5</v>
      </c>
      <c r="O16" t="s">
        <v>6</v>
      </c>
      <c r="P16" t="s">
        <v>7</v>
      </c>
    </row>
    <row r="17" spans="1:25" x14ac:dyDescent="0.15">
      <c r="A17" t="s">
        <v>22</v>
      </c>
      <c r="B17" t="s">
        <v>151</v>
      </c>
      <c r="C17" t="s">
        <v>153</v>
      </c>
      <c r="D17">
        <v>2010</v>
      </c>
      <c r="E17" t="b">
        <v>0</v>
      </c>
      <c r="F17" t="s">
        <v>152</v>
      </c>
      <c r="G17">
        <v>160</v>
      </c>
      <c r="H17">
        <v>25</v>
      </c>
      <c r="I17">
        <f>I16</f>
        <v>263</v>
      </c>
      <c r="J17">
        <f>J16+H16</f>
        <v>340</v>
      </c>
      <c r="K17" t="s">
        <v>151</v>
      </c>
      <c r="L17">
        <v>20</v>
      </c>
      <c r="M17">
        <v>5</v>
      </c>
      <c r="N17" t="s">
        <v>5</v>
      </c>
      <c r="O17" t="s">
        <v>6</v>
      </c>
      <c r="P17" t="s">
        <v>7</v>
      </c>
    </row>
    <row r="19" spans="1:25" x14ac:dyDescent="0.15">
      <c r="A19" t="s">
        <v>150</v>
      </c>
    </row>
    <row r="20" spans="1:25" x14ac:dyDescent="0.15">
      <c r="A20" t="s">
        <v>17</v>
      </c>
      <c r="B20" t="s">
        <v>18</v>
      </c>
      <c r="C20" t="s">
        <v>9</v>
      </c>
      <c r="D20" t="s">
        <v>10</v>
      </c>
      <c r="E20" t="s">
        <v>11</v>
      </c>
      <c r="F20" t="s">
        <v>12</v>
      </c>
      <c r="G20" t="s">
        <v>13</v>
      </c>
      <c r="H20" t="s">
        <v>14</v>
      </c>
      <c r="I20" t="s">
        <v>15</v>
      </c>
      <c r="J20" t="s">
        <v>16</v>
      </c>
      <c r="K20" t="s">
        <v>19</v>
      </c>
      <c r="L20" t="s">
        <v>20</v>
      </c>
      <c r="M20" t="s">
        <v>21</v>
      </c>
      <c r="N20" t="s">
        <v>5</v>
      </c>
      <c r="O20" t="s">
        <v>6</v>
      </c>
      <c r="P20" t="s">
        <v>7</v>
      </c>
    </row>
    <row r="21" spans="1:25" x14ac:dyDescent="0.15">
      <c r="A21" t="s">
        <v>22</v>
      </c>
      <c r="B21" t="s">
        <v>23</v>
      </c>
      <c r="C21" t="s">
        <v>149</v>
      </c>
      <c r="D21" s="3">
        <v>2020</v>
      </c>
      <c r="E21" s="3" t="b">
        <v>1</v>
      </c>
      <c r="F21" s="3" t="s">
        <v>24</v>
      </c>
      <c r="G21" s="3">
        <v>48</v>
      </c>
      <c r="H21" s="3">
        <v>30</v>
      </c>
      <c r="I21" s="5">
        <v>425</v>
      </c>
      <c r="J21" s="5">
        <v>151</v>
      </c>
      <c r="K21" s="3" t="s">
        <v>25</v>
      </c>
      <c r="L21" s="3">
        <v>0</v>
      </c>
      <c r="M21" s="3">
        <v>0</v>
      </c>
      <c r="N21" s="3" t="s">
        <v>5</v>
      </c>
      <c r="O21" s="3" t="s">
        <v>6</v>
      </c>
      <c r="P21" s="3" t="s">
        <v>7</v>
      </c>
    </row>
    <row r="22" spans="1:25" x14ac:dyDescent="0.15">
      <c r="A22" t="s">
        <v>22</v>
      </c>
      <c r="B22" t="s">
        <v>26</v>
      </c>
      <c r="C22" t="s">
        <v>148</v>
      </c>
      <c r="D22" s="6">
        <v>2020</v>
      </c>
      <c r="E22" s="3" t="b">
        <v>1</v>
      </c>
      <c r="F22" s="3" t="s">
        <v>24</v>
      </c>
      <c r="G22" s="3">
        <v>48</v>
      </c>
      <c r="H22" s="3">
        <v>30</v>
      </c>
      <c r="I22" s="5">
        <v>473</v>
      </c>
      <c r="J22" s="5">
        <v>200</v>
      </c>
      <c r="K22" s="3" t="s">
        <v>25</v>
      </c>
      <c r="L22" s="3">
        <v>0</v>
      </c>
      <c r="M22" s="3">
        <v>0</v>
      </c>
      <c r="N22" s="3" t="s">
        <v>5</v>
      </c>
      <c r="O22" s="3" t="s">
        <v>6</v>
      </c>
      <c r="P22" s="3" t="s">
        <v>7</v>
      </c>
    </row>
    <row r="23" spans="1:25" x14ac:dyDescent="0.15">
      <c r="A23" t="s">
        <v>22</v>
      </c>
      <c r="B23" t="s">
        <v>27</v>
      </c>
      <c r="C23" t="s">
        <v>147</v>
      </c>
      <c r="D23" s="6">
        <v>2020</v>
      </c>
      <c r="E23" s="3" t="b">
        <v>1</v>
      </c>
      <c r="F23" s="3" t="s">
        <v>24</v>
      </c>
      <c r="G23" s="3">
        <v>48</v>
      </c>
      <c r="H23" s="3">
        <v>30</v>
      </c>
      <c r="I23" s="5">
        <v>425</v>
      </c>
      <c r="J23" s="5">
        <v>251</v>
      </c>
      <c r="K23" s="3" t="s">
        <v>25</v>
      </c>
      <c r="L23" s="3">
        <v>0</v>
      </c>
      <c r="M23" s="3">
        <v>0</v>
      </c>
      <c r="N23" s="3" t="s">
        <v>5</v>
      </c>
      <c r="O23" s="3" t="s">
        <v>6</v>
      </c>
      <c r="P23" s="3" t="s">
        <v>7</v>
      </c>
    </row>
    <row r="24" spans="1:25" x14ac:dyDescent="0.15">
      <c r="A24" t="s">
        <v>22</v>
      </c>
      <c r="B24" t="s">
        <v>28</v>
      </c>
      <c r="C24" t="s">
        <v>146</v>
      </c>
      <c r="D24" s="6">
        <v>2020</v>
      </c>
      <c r="E24" s="3" t="b">
        <v>1</v>
      </c>
      <c r="F24" s="3" t="s">
        <v>24</v>
      </c>
      <c r="G24" s="3">
        <v>48</v>
      </c>
      <c r="H24" s="3">
        <v>30</v>
      </c>
      <c r="I24" s="5">
        <v>375</v>
      </c>
      <c r="J24" s="5">
        <v>201</v>
      </c>
      <c r="K24" s="3" t="s">
        <v>25</v>
      </c>
      <c r="L24" s="3">
        <v>0</v>
      </c>
      <c r="M24" s="3">
        <v>0</v>
      </c>
      <c r="N24" s="3" t="s">
        <v>5</v>
      </c>
      <c r="O24" s="3" t="s">
        <v>6</v>
      </c>
      <c r="P24" s="3" t="s">
        <v>7</v>
      </c>
    </row>
    <row r="26" spans="1:25" x14ac:dyDescent="0.15">
      <c r="A26" s="7" t="s">
        <v>65</v>
      </c>
      <c r="B26" s="7" t="s">
        <v>427</v>
      </c>
      <c r="C26" s="7" t="s">
        <v>428</v>
      </c>
      <c r="D26" s="7">
        <v>2002</v>
      </c>
      <c r="E26" s="7" t="b">
        <v>1</v>
      </c>
      <c r="F26" s="7">
        <f>I12+15</f>
        <v>35</v>
      </c>
      <c r="G26" s="7">
        <f>J12+12</f>
        <v>112</v>
      </c>
      <c r="H26" s="7" t="s">
        <v>429</v>
      </c>
      <c r="I26" s="7" t="s">
        <v>69</v>
      </c>
      <c r="J26" s="7" t="s">
        <v>6</v>
      </c>
      <c r="K26" s="7" t="s">
        <v>7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2"/>
  <sheetViews>
    <sheetView topLeftCell="B1" workbookViewId="0">
      <selection activeCell="B8" sqref="B8"/>
    </sheetView>
  </sheetViews>
  <sheetFormatPr defaultRowHeight="13.5" x14ac:dyDescent="0.15"/>
  <cols>
    <col min="1" max="1" width="39.25" bestFit="1" customWidth="1"/>
    <col min="2" max="2" width="20.25" customWidth="1"/>
    <col min="3" max="3" width="22.5" customWidth="1"/>
    <col min="6" max="6" width="38" bestFit="1" customWidth="1"/>
  </cols>
  <sheetData>
    <row r="1" spans="1:16" x14ac:dyDescent="0.15">
      <c r="A1" t="s">
        <v>175</v>
      </c>
    </row>
    <row r="2" spans="1:16" x14ac:dyDescent="0.15">
      <c r="A2" t="s">
        <v>0</v>
      </c>
    </row>
    <row r="3" spans="1:16" x14ac:dyDescent="0.15">
      <c r="A3" t="s">
        <v>174</v>
      </c>
    </row>
    <row r="4" spans="1:16" x14ac:dyDescent="0.15">
      <c r="A4" t="s">
        <v>389</v>
      </c>
    </row>
    <row r="6" spans="1:16" x14ac:dyDescent="0.15">
      <c r="A6" t="s">
        <v>173</v>
      </c>
    </row>
    <row r="7" spans="1:16" x14ac:dyDescent="0.15">
      <c r="A7" t="s">
        <v>17</v>
      </c>
      <c r="B7" t="s">
        <v>18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16</v>
      </c>
      <c r="K7" t="s">
        <v>19</v>
      </c>
      <c r="L7" t="s">
        <v>20</v>
      </c>
      <c r="M7" t="s">
        <v>21</v>
      </c>
    </row>
    <row r="8" spans="1:16" x14ac:dyDescent="0.15">
      <c r="A8" t="s">
        <v>22</v>
      </c>
      <c r="B8" t="s">
        <v>345</v>
      </c>
      <c r="C8" t="s">
        <v>347</v>
      </c>
      <c r="D8">
        <v>1000</v>
      </c>
      <c r="E8" t="b">
        <v>1</v>
      </c>
      <c r="F8" t="s">
        <v>152</v>
      </c>
      <c r="G8">
        <v>160</v>
      </c>
      <c r="H8">
        <v>25</v>
      </c>
      <c r="I8">
        <v>25</v>
      </c>
      <c r="J8">
        <v>250</v>
      </c>
      <c r="K8" t="s">
        <v>345</v>
      </c>
      <c r="L8">
        <v>20</v>
      </c>
      <c r="M8">
        <v>5</v>
      </c>
      <c r="N8" t="s">
        <v>5</v>
      </c>
      <c r="O8" t="s">
        <v>6</v>
      </c>
      <c r="P8" t="s">
        <v>7</v>
      </c>
    </row>
    <row r="9" spans="1:16" x14ac:dyDescent="0.15">
      <c r="A9" t="s">
        <v>22</v>
      </c>
      <c r="B9" t="s">
        <v>346</v>
      </c>
      <c r="C9" t="s">
        <v>348</v>
      </c>
      <c r="D9">
        <v>1000</v>
      </c>
      <c r="E9" t="b">
        <v>1</v>
      </c>
      <c r="F9" t="s">
        <v>152</v>
      </c>
      <c r="G9">
        <v>160</v>
      </c>
      <c r="H9">
        <v>25</v>
      </c>
      <c r="I9">
        <f>I8</f>
        <v>25</v>
      </c>
      <c r="J9">
        <f>J8+H9</f>
        <v>275</v>
      </c>
      <c r="K9" t="s">
        <v>346</v>
      </c>
      <c r="L9">
        <v>20</v>
      </c>
      <c r="M9">
        <v>5</v>
      </c>
      <c r="N9" t="s">
        <v>5</v>
      </c>
      <c r="O9" t="s">
        <v>6</v>
      </c>
      <c r="P9" t="s">
        <v>7</v>
      </c>
    </row>
    <row r="10" spans="1:16" x14ac:dyDescent="0.15">
      <c r="A10" t="s">
        <v>22</v>
      </c>
      <c r="B10" t="s">
        <v>171</v>
      </c>
      <c r="C10" t="s">
        <v>172</v>
      </c>
      <c r="D10">
        <v>1000</v>
      </c>
      <c r="E10" t="b">
        <v>1</v>
      </c>
      <c r="F10" t="s">
        <v>152</v>
      </c>
      <c r="G10">
        <v>160</v>
      </c>
      <c r="H10">
        <v>25</v>
      </c>
      <c r="I10">
        <f t="shared" ref="I10:I12" si="0">I9</f>
        <v>25</v>
      </c>
      <c r="J10">
        <f t="shared" ref="J10:J12" si="1">J9+H10</f>
        <v>300</v>
      </c>
      <c r="K10" t="s">
        <v>171</v>
      </c>
      <c r="L10">
        <v>20</v>
      </c>
      <c r="M10">
        <v>5</v>
      </c>
      <c r="N10" t="s">
        <v>5</v>
      </c>
      <c r="O10" t="s">
        <v>6</v>
      </c>
      <c r="P10" t="s">
        <v>7</v>
      </c>
    </row>
    <row r="11" spans="1:16" x14ac:dyDescent="0.15">
      <c r="A11" t="s">
        <v>22</v>
      </c>
      <c r="B11" t="s">
        <v>169</v>
      </c>
      <c r="C11" t="s">
        <v>170</v>
      </c>
      <c r="D11">
        <v>1000</v>
      </c>
      <c r="E11" t="b">
        <v>1</v>
      </c>
      <c r="F11" t="s">
        <v>152</v>
      </c>
      <c r="G11">
        <v>160</v>
      </c>
      <c r="H11">
        <v>25</v>
      </c>
      <c r="I11">
        <f t="shared" si="0"/>
        <v>25</v>
      </c>
      <c r="J11">
        <f t="shared" si="1"/>
        <v>325</v>
      </c>
      <c r="K11" t="s">
        <v>169</v>
      </c>
      <c r="L11">
        <v>20</v>
      </c>
      <c r="M11">
        <v>5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344</v>
      </c>
      <c r="C12" t="s">
        <v>168</v>
      </c>
      <c r="D12">
        <v>1000</v>
      </c>
      <c r="E12" t="b">
        <v>1</v>
      </c>
      <c r="F12" t="s">
        <v>152</v>
      </c>
      <c r="G12">
        <v>160</v>
      </c>
      <c r="H12">
        <v>25</v>
      </c>
      <c r="I12">
        <f t="shared" si="0"/>
        <v>25</v>
      </c>
      <c r="J12">
        <f t="shared" si="1"/>
        <v>350</v>
      </c>
      <c r="K12" t="s">
        <v>344</v>
      </c>
      <c r="L12">
        <v>20</v>
      </c>
      <c r="M12">
        <v>5</v>
      </c>
      <c r="N12" t="s">
        <v>5</v>
      </c>
      <c r="O12" t="s">
        <v>6</v>
      </c>
      <c r="P12" t="s">
        <v>7</v>
      </c>
    </row>
    <row r="14" spans="1:16" x14ac:dyDescent="0.15">
      <c r="A14" t="s">
        <v>351</v>
      </c>
      <c r="D14" t="s">
        <v>10</v>
      </c>
      <c r="E14" t="s">
        <v>11</v>
      </c>
      <c r="F14" t="s">
        <v>12</v>
      </c>
      <c r="G14" t="s">
        <v>13</v>
      </c>
      <c r="H14" t="s">
        <v>14</v>
      </c>
      <c r="I14" t="s">
        <v>32</v>
      </c>
      <c r="J14" t="s">
        <v>33</v>
      </c>
      <c r="K14" t="s">
        <v>384</v>
      </c>
      <c r="L14" t="s">
        <v>34</v>
      </c>
      <c r="M14" t="s">
        <v>35</v>
      </c>
      <c r="N14" t="s">
        <v>385</v>
      </c>
      <c r="O14" t="s">
        <v>15</v>
      </c>
      <c r="P14" t="s">
        <v>16</v>
      </c>
    </row>
    <row r="15" spans="1:16" s="1" customFormat="1" x14ac:dyDescent="0.15">
      <c r="A15" s="1" t="s">
        <v>349</v>
      </c>
      <c r="B15" s="1" t="s">
        <v>352</v>
      </c>
      <c r="C15" s="1" t="s">
        <v>353</v>
      </c>
      <c r="D15" s="1">
        <v>3000</v>
      </c>
      <c r="E15" s="1" t="b">
        <v>0</v>
      </c>
      <c r="F15" s="1" t="s">
        <v>365</v>
      </c>
      <c r="G15" s="1">
        <v>190</v>
      </c>
      <c r="H15" s="1">
        <v>90</v>
      </c>
      <c r="I15" s="1">
        <v>50</v>
      </c>
      <c r="J15" s="1">
        <v>160</v>
      </c>
    </row>
    <row r="16" spans="1:16" x14ac:dyDescent="0.15">
      <c r="A16" t="s">
        <v>36</v>
      </c>
      <c r="B16" t="s">
        <v>367</v>
      </c>
      <c r="C16" t="s">
        <v>368</v>
      </c>
      <c r="D16">
        <v>3000</v>
      </c>
      <c r="E16" s="1" t="b">
        <v>0</v>
      </c>
      <c r="F16" t="s">
        <v>369</v>
      </c>
      <c r="G16">
        <v>200</v>
      </c>
      <c r="H16">
        <v>172</v>
      </c>
      <c r="I16">
        <v>5</v>
      </c>
      <c r="J16">
        <v>3</v>
      </c>
      <c r="K16">
        <v>15</v>
      </c>
      <c r="L16">
        <v>3</v>
      </c>
      <c r="M16" t="b">
        <v>1</v>
      </c>
      <c r="N16" t="b">
        <v>0</v>
      </c>
      <c r="O16" s="1">
        <v>90</v>
      </c>
      <c r="P16">
        <v>165</v>
      </c>
    </row>
    <row r="17" spans="1:16" s="1" customFormat="1" x14ac:dyDescent="0.15">
      <c r="A17" s="1" t="s">
        <v>349</v>
      </c>
      <c r="B17" s="1" t="s">
        <v>352</v>
      </c>
      <c r="C17" s="1" t="s">
        <v>354</v>
      </c>
      <c r="D17" s="1">
        <v>3000</v>
      </c>
      <c r="E17" s="1" t="b">
        <v>0</v>
      </c>
      <c r="F17" s="1" t="s">
        <v>366</v>
      </c>
      <c r="G17" s="1">
        <v>190</v>
      </c>
      <c r="H17" s="1">
        <v>90</v>
      </c>
      <c r="I17" s="1">
        <v>50</v>
      </c>
      <c r="J17" s="1">
        <v>160</v>
      </c>
    </row>
    <row r="18" spans="1:16" s="1" customFormat="1" x14ac:dyDescent="0.15">
      <c r="A18" t="s">
        <v>36</v>
      </c>
      <c r="B18" t="s">
        <v>352</v>
      </c>
      <c r="C18" s="1" t="s">
        <v>354</v>
      </c>
      <c r="D18">
        <v>3000</v>
      </c>
      <c r="E18" s="1" t="b">
        <v>0</v>
      </c>
      <c r="F18" t="s">
        <v>383</v>
      </c>
      <c r="G18">
        <v>96</v>
      </c>
      <c r="H18">
        <v>120</v>
      </c>
      <c r="I18">
        <v>13</v>
      </c>
      <c r="J18">
        <v>1</v>
      </c>
      <c r="K18" s="1">
        <v>13</v>
      </c>
      <c r="L18">
        <v>1</v>
      </c>
      <c r="M18" s="1" t="b">
        <v>0</v>
      </c>
      <c r="N18" s="1" t="b">
        <v>0</v>
      </c>
      <c r="O18" s="1">
        <v>90</v>
      </c>
      <c r="P18">
        <v>165</v>
      </c>
    </row>
    <row r="19" spans="1:16" s="1" customFormat="1" x14ac:dyDescent="0.15">
      <c r="A19" s="1" t="s">
        <v>350</v>
      </c>
      <c r="B19" s="1" t="s">
        <v>352</v>
      </c>
      <c r="C19" s="1" t="s">
        <v>355</v>
      </c>
      <c r="D19" s="1">
        <v>3000</v>
      </c>
      <c r="E19" s="1" t="b">
        <v>0</v>
      </c>
      <c r="F19" s="1" t="s">
        <v>358</v>
      </c>
      <c r="G19" s="1">
        <v>190</v>
      </c>
      <c r="H19" s="1">
        <v>90</v>
      </c>
      <c r="I19" s="1">
        <v>50</v>
      </c>
      <c r="J19" s="1">
        <v>160</v>
      </c>
    </row>
    <row r="20" spans="1:16" s="1" customFormat="1" x14ac:dyDescent="0.15">
      <c r="A20" s="1" t="s">
        <v>349</v>
      </c>
      <c r="B20" s="1" t="s">
        <v>352</v>
      </c>
      <c r="C20" s="1" t="s">
        <v>356</v>
      </c>
      <c r="D20" s="1">
        <v>3000</v>
      </c>
      <c r="E20" s="1" t="b">
        <v>0</v>
      </c>
      <c r="F20" s="1" t="s">
        <v>359</v>
      </c>
      <c r="G20" s="1">
        <v>190</v>
      </c>
      <c r="H20" s="1">
        <v>90</v>
      </c>
      <c r="I20" s="1">
        <v>50</v>
      </c>
      <c r="J20" s="1">
        <v>160</v>
      </c>
    </row>
    <row r="21" spans="1:16" s="1" customFormat="1" x14ac:dyDescent="0.15">
      <c r="A21" t="s">
        <v>36</v>
      </c>
      <c r="B21" t="s">
        <v>352</v>
      </c>
      <c r="C21" s="1" t="s">
        <v>356</v>
      </c>
      <c r="D21">
        <v>3000</v>
      </c>
      <c r="E21" s="1" t="b">
        <v>0</v>
      </c>
      <c r="F21" s="1" t="s">
        <v>359</v>
      </c>
      <c r="G21">
        <v>190</v>
      </c>
      <c r="H21">
        <v>90</v>
      </c>
      <c r="I21">
        <v>1</v>
      </c>
      <c r="J21">
        <v>1</v>
      </c>
      <c r="K21" s="1">
        <v>1</v>
      </c>
      <c r="L21">
        <v>5</v>
      </c>
      <c r="M21" s="1" t="b">
        <v>0</v>
      </c>
      <c r="N21" s="1" t="b">
        <v>0</v>
      </c>
      <c r="O21" s="1">
        <v>90</v>
      </c>
      <c r="P21">
        <v>165</v>
      </c>
    </row>
    <row r="22" spans="1:16" s="1" customFormat="1" x14ac:dyDescent="0.15">
      <c r="A22" s="1" t="s">
        <v>350</v>
      </c>
      <c r="B22" s="1" t="s">
        <v>352</v>
      </c>
      <c r="C22" s="1" t="s">
        <v>357</v>
      </c>
      <c r="D22" s="1">
        <v>3000</v>
      </c>
      <c r="E22" s="1" t="b">
        <v>0</v>
      </c>
      <c r="F22" s="1" t="s">
        <v>360</v>
      </c>
      <c r="G22" s="1">
        <v>190</v>
      </c>
      <c r="H22" s="1">
        <v>90</v>
      </c>
      <c r="I22" s="1">
        <v>50</v>
      </c>
      <c r="J22" s="1">
        <v>160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89"/>
  <sheetViews>
    <sheetView tabSelected="1" topLeftCell="F52" zoomScaleNormal="100" workbookViewId="0">
      <selection activeCell="M63" sqref="M63"/>
    </sheetView>
  </sheetViews>
  <sheetFormatPr defaultRowHeight="13.5" x14ac:dyDescent="0.15"/>
  <cols>
    <col min="1" max="1" width="32.75" style="1" bestFit="1" customWidth="1"/>
    <col min="2" max="2" width="28.25" style="1" bestFit="1" customWidth="1"/>
    <col min="3" max="3" width="30.125" style="1" bestFit="1" customWidth="1"/>
    <col min="4" max="4" width="9" style="1" bestFit="1" customWidth="1"/>
    <col min="5" max="5" width="12.125" style="1" bestFit="1" customWidth="1"/>
    <col min="6" max="6" width="34.625" style="1" bestFit="1" customWidth="1"/>
    <col min="7" max="7" width="18.625" style="1" bestFit="1" customWidth="1"/>
    <col min="8" max="8" width="23.75" style="1" bestFit="1" customWidth="1"/>
    <col min="9" max="10" width="10.125" style="1" bestFit="1" customWidth="1"/>
    <col min="11" max="12" width="11.75" style="1" bestFit="1" customWidth="1"/>
    <col min="13" max="14" width="9" style="1" bestFit="1" customWidth="1"/>
    <col min="15" max="15" width="26.875" style="1" bestFit="1" customWidth="1"/>
    <col min="16" max="17" width="18.375" style="1" bestFit="1" customWidth="1"/>
    <col min="18" max="18" width="32.375" style="1" bestFit="1" customWidth="1"/>
    <col min="19" max="20" width="16.25" style="1" bestFit="1" customWidth="1"/>
    <col min="21" max="21" width="11.125" style="1" bestFit="1" customWidth="1"/>
    <col min="22" max="23" width="10.375" style="1" bestFit="1" customWidth="1"/>
    <col min="24" max="24" width="8.875" style="1" bestFit="1" customWidth="1"/>
    <col min="25" max="25" width="10.875" style="1" bestFit="1" customWidth="1"/>
    <col min="26" max="16384" width="9" style="1"/>
  </cols>
  <sheetData>
    <row r="1" spans="1:12" x14ac:dyDescent="0.15">
      <c r="A1" s="1" t="s">
        <v>195</v>
      </c>
    </row>
    <row r="2" spans="1:12" x14ac:dyDescent="0.15">
      <c r="A2" s="1" t="s">
        <v>0</v>
      </c>
    </row>
    <row r="3" spans="1:12" x14ac:dyDescent="0.15">
      <c r="A3" s="1" t="s">
        <v>194</v>
      </c>
    </row>
    <row r="4" spans="1:12" x14ac:dyDescent="0.15">
      <c r="A4" s="1" t="s">
        <v>0</v>
      </c>
    </row>
    <row r="5" spans="1:12" x14ac:dyDescent="0.15">
      <c r="A5" s="1" t="s">
        <v>165</v>
      </c>
    </row>
    <row r="6" spans="1:12" x14ac:dyDescent="0.15">
      <c r="A6" s="1" t="s">
        <v>350</v>
      </c>
      <c r="B6" s="1" t="s">
        <v>164</v>
      </c>
      <c r="C6" s="1" t="s">
        <v>228</v>
      </c>
      <c r="D6" s="1">
        <v>10</v>
      </c>
      <c r="E6" s="1" t="b">
        <v>1</v>
      </c>
      <c r="F6" s="1" t="s">
        <v>162</v>
      </c>
      <c r="G6" s="1">
        <v>640</v>
      </c>
      <c r="H6" s="1">
        <v>480</v>
      </c>
      <c r="I6" s="1">
        <v>0</v>
      </c>
      <c r="J6" s="1">
        <v>0</v>
      </c>
    </row>
    <row r="8" spans="1:12" x14ac:dyDescent="0.15">
      <c r="A8" s="1" t="s">
        <v>205</v>
      </c>
    </row>
    <row r="9" spans="1:12" customFormat="1" x14ac:dyDescent="0.15">
      <c r="A9" t="s">
        <v>61</v>
      </c>
      <c r="B9" t="s">
        <v>455</v>
      </c>
      <c r="C9" t="s">
        <v>274</v>
      </c>
      <c r="D9" s="9">
        <v>3050</v>
      </c>
      <c r="E9" t="b">
        <v>1</v>
      </c>
      <c r="F9" s="9" t="s">
        <v>58</v>
      </c>
      <c r="G9">
        <v>15</v>
      </c>
      <c r="H9">
        <v>15</v>
      </c>
      <c r="I9">
        <v>90</v>
      </c>
      <c r="J9">
        <v>5</v>
      </c>
      <c r="K9" s="9">
        <v>200</v>
      </c>
      <c r="L9">
        <v>45</v>
      </c>
    </row>
    <row r="10" spans="1:12" customFormat="1" x14ac:dyDescent="0.15">
      <c r="A10" s="1" t="s">
        <v>8</v>
      </c>
      <c r="B10" s="1" t="s">
        <v>206</v>
      </c>
      <c r="C10" s="1" t="s">
        <v>362</v>
      </c>
      <c r="D10" s="1">
        <v>3100</v>
      </c>
      <c r="E10" s="1" t="b">
        <v>1</v>
      </c>
      <c r="F10" s="1" t="s">
        <v>273</v>
      </c>
      <c r="G10" s="1">
        <v>213</v>
      </c>
      <c r="H10" s="1">
        <v>65</v>
      </c>
      <c r="I10" s="1">
        <f>I9+10</f>
        <v>100</v>
      </c>
      <c r="J10" s="1">
        <f>J9+9</f>
        <v>14</v>
      </c>
      <c r="K10" s="1"/>
      <c r="L10" s="1"/>
    </row>
    <row r="11" spans="1:12" x14ac:dyDescent="0.15">
      <c r="A11" s="1" t="s">
        <v>8</v>
      </c>
      <c r="B11" s="1" t="s">
        <v>206</v>
      </c>
      <c r="C11" s="1" t="s">
        <v>364</v>
      </c>
      <c r="D11" s="1">
        <v>3100</v>
      </c>
      <c r="E11" s="1" t="b">
        <v>0</v>
      </c>
      <c r="F11" s="1" t="s">
        <v>363</v>
      </c>
      <c r="G11" s="1">
        <v>265</v>
      </c>
      <c r="H11" s="1">
        <v>56</v>
      </c>
      <c r="I11" s="1">
        <v>20</v>
      </c>
      <c r="J11" s="1">
        <v>20</v>
      </c>
    </row>
    <row r="12" spans="1:12" s="9" customFormat="1" x14ac:dyDescent="0.15">
      <c r="A12" s="9" t="s">
        <v>61</v>
      </c>
      <c r="B12" s="9" t="s">
        <v>456</v>
      </c>
      <c r="C12" s="9" t="s">
        <v>454</v>
      </c>
      <c r="D12" s="9">
        <v>3050</v>
      </c>
      <c r="E12" s="9" t="b">
        <v>1</v>
      </c>
      <c r="F12" s="9" t="s">
        <v>58</v>
      </c>
      <c r="G12" s="9">
        <v>15</v>
      </c>
      <c r="H12" s="9">
        <v>15</v>
      </c>
      <c r="I12" s="9">
        <v>315</v>
      </c>
      <c r="J12" s="9">
        <v>5</v>
      </c>
      <c r="K12" s="9">
        <v>200</v>
      </c>
      <c r="L12" s="9">
        <v>45</v>
      </c>
    </row>
    <row r="13" spans="1:12" x14ac:dyDescent="0.15">
      <c r="A13" s="1" t="s">
        <v>227</v>
      </c>
      <c r="B13" s="1" t="s">
        <v>207</v>
      </c>
      <c r="C13" s="1" t="s">
        <v>229</v>
      </c>
      <c r="D13" s="1">
        <v>3100</v>
      </c>
      <c r="E13" s="1" t="b">
        <v>1</v>
      </c>
      <c r="F13" s="1">
        <f>I12+15</f>
        <v>330</v>
      </c>
      <c r="G13" s="1">
        <f>J12+18</f>
        <v>23</v>
      </c>
      <c r="H13" s="1" t="s">
        <v>275</v>
      </c>
      <c r="I13" s="1" t="s">
        <v>69</v>
      </c>
      <c r="J13" s="1" t="s">
        <v>6</v>
      </c>
      <c r="K13" s="1" t="s">
        <v>7</v>
      </c>
    </row>
    <row r="14" spans="1:12" x14ac:dyDescent="0.15">
      <c r="A14" s="1" t="s">
        <v>227</v>
      </c>
      <c r="B14" s="1" t="s">
        <v>342</v>
      </c>
      <c r="C14" s="1" t="s">
        <v>343</v>
      </c>
      <c r="D14" s="1">
        <v>3100</v>
      </c>
      <c r="E14" s="1" t="b">
        <v>1</v>
      </c>
      <c r="F14" s="1">
        <f>F13</f>
        <v>330</v>
      </c>
      <c r="G14" s="1">
        <f>G13+25</f>
        <v>48</v>
      </c>
      <c r="H14" s="1" t="s">
        <v>208</v>
      </c>
      <c r="I14" s="1" t="s">
        <v>69</v>
      </c>
      <c r="J14" s="1" t="s">
        <v>6</v>
      </c>
      <c r="K14" s="1" t="s">
        <v>7</v>
      </c>
    </row>
    <row r="15" spans="1:12" x14ac:dyDescent="0.15">
      <c r="A15" s="1" t="s">
        <v>227</v>
      </c>
      <c r="B15" s="1" t="s">
        <v>208</v>
      </c>
      <c r="C15" s="1" t="s">
        <v>230</v>
      </c>
      <c r="D15" s="1">
        <v>3100</v>
      </c>
      <c r="E15" s="1" t="b">
        <v>1</v>
      </c>
      <c r="F15" s="1">
        <f>F14+100</f>
        <v>430</v>
      </c>
      <c r="G15" s="1">
        <f>G14</f>
        <v>48</v>
      </c>
      <c r="H15" s="1" t="s">
        <v>276</v>
      </c>
      <c r="I15" s="1" t="s">
        <v>69</v>
      </c>
      <c r="J15" s="1" t="s">
        <v>6</v>
      </c>
      <c r="K15" s="1" t="s">
        <v>7</v>
      </c>
    </row>
    <row r="16" spans="1:12" customFormat="1" x14ac:dyDescent="0.15">
      <c r="A16" t="s">
        <v>61</v>
      </c>
      <c r="B16" t="s">
        <v>457</v>
      </c>
      <c r="C16" t="s">
        <v>279</v>
      </c>
      <c r="D16">
        <v>3050</v>
      </c>
      <c r="E16" t="b">
        <v>1</v>
      </c>
      <c r="F16" s="9" t="s">
        <v>58</v>
      </c>
      <c r="G16">
        <v>15</v>
      </c>
      <c r="H16">
        <v>15</v>
      </c>
      <c r="I16">
        <v>90</v>
      </c>
      <c r="J16">
        <v>80</v>
      </c>
      <c r="K16">
        <v>420</v>
      </c>
      <c r="L16">
        <v>20</v>
      </c>
    </row>
    <row r="17" spans="1:16" x14ac:dyDescent="0.15">
      <c r="A17" s="1" t="s">
        <v>227</v>
      </c>
      <c r="B17" s="1" t="s">
        <v>209</v>
      </c>
      <c r="C17" s="1" t="s">
        <v>231</v>
      </c>
      <c r="D17" s="1">
        <v>3100</v>
      </c>
      <c r="E17" s="1" t="b">
        <v>1</v>
      </c>
      <c r="F17" s="1">
        <f>I16+15</f>
        <v>105</v>
      </c>
      <c r="G17" s="1">
        <f>J16+15</f>
        <v>95</v>
      </c>
      <c r="H17" s="1" t="s">
        <v>277</v>
      </c>
      <c r="I17" s="1" t="s">
        <v>69</v>
      </c>
      <c r="J17" s="1" t="s">
        <v>6</v>
      </c>
      <c r="K17" s="1" t="s">
        <v>7</v>
      </c>
    </row>
    <row r="20" spans="1:16" x14ac:dyDescent="0.15">
      <c r="A20" s="1" t="s">
        <v>210</v>
      </c>
      <c r="B20" s="1" t="s">
        <v>220</v>
      </c>
    </row>
    <row r="21" spans="1:16" x14ac:dyDescent="0.15">
      <c r="A21" t="s">
        <v>61</v>
      </c>
      <c r="B21" t="s">
        <v>278</v>
      </c>
      <c r="C21" t="s">
        <v>315</v>
      </c>
      <c r="D21">
        <v>3000</v>
      </c>
      <c r="E21" s="1" t="b">
        <v>1</v>
      </c>
      <c r="F21" s="9" t="s">
        <v>58</v>
      </c>
      <c r="G21">
        <v>15</v>
      </c>
      <c r="H21">
        <v>15</v>
      </c>
      <c r="I21">
        <v>5</v>
      </c>
      <c r="J21">
        <v>130</v>
      </c>
      <c r="K21">
        <v>600</v>
      </c>
      <c r="L21">
        <v>320</v>
      </c>
    </row>
    <row r="22" spans="1:16" x14ac:dyDescent="0.15">
      <c r="A22" s="1" t="s">
        <v>211</v>
      </c>
      <c r="D22" t="s">
        <v>10</v>
      </c>
      <c r="E22" t="s">
        <v>11</v>
      </c>
      <c r="F22" t="s">
        <v>12</v>
      </c>
      <c r="G22" t="s">
        <v>13</v>
      </c>
      <c r="H22" t="s">
        <v>14</v>
      </c>
      <c r="I22" t="s">
        <v>32</v>
      </c>
      <c r="J22" t="s">
        <v>33</v>
      </c>
      <c r="K22" t="s">
        <v>384</v>
      </c>
      <c r="L22" t="s">
        <v>34</v>
      </c>
      <c r="M22" t="s">
        <v>35</v>
      </c>
      <c r="N22" t="s">
        <v>385</v>
      </c>
      <c r="O22" t="s">
        <v>15</v>
      </c>
      <c r="P22" t="s">
        <v>16</v>
      </c>
    </row>
    <row r="23" spans="1:16" s="9" customFormat="1" x14ac:dyDescent="0.15">
      <c r="A23" s="9" t="s">
        <v>61</v>
      </c>
      <c r="B23" s="9" t="s">
        <v>453</v>
      </c>
      <c r="C23" s="9" t="s">
        <v>458</v>
      </c>
      <c r="D23" s="9">
        <v>3050</v>
      </c>
      <c r="E23" s="9" t="b">
        <v>1</v>
      </c>
      <c r="F23" s="9" t="s">
        <v>58</v>
      </c>
      <c r="G23" s="9">
        <v>15</v>
      </c>
      <c r="H23" s="9">
        <v>15</v>
      </c>
      <c r="I23" s="9">
        <v>15</v>
      </c>
      <c r="J23" s="9">
        <v>155</v>
      </c>
      <c r="K23" s="9">
        <v>265</v>
      </c>
      <c r="L23" s="9">
        <v>110</v>
      </c>
    </row>
    <row r="24" spans="1:16" x14ac:dyDescent="0.15">
      <c r="A24" t="s">
        <v>36</v>
      </c>
      <c r="B24" t="s">
        <v>452</v>
      </c>
      <c r="C24" t="s">
        <v>316</v>
      </c>
      <c r="D24">
        <v>3100</v>
      </c>
      <c r="E24" s="1" t="b">
        <v>1</v>
      </c>
      <c r="F24" t="s">
        <v>283</v>
      </c>
      <c r="G24">
        <v>64</v>
      </c>
      <c r="H24">
        <v>64</v>
      </c>
      <c r="I24">
        <v>8</v>
      </c>
      <c r="J24">
        <v>1</v>
      </c>
      <c r="K24" s="1">
        <v>8</v>
      </c>
      <c r="L24">
        <v>5</v>
      </c>
      <c r="M24" t="b">
        <v>1</v>
      </c>
      <c r="N24" s="1" t="b">
        <v>0</v>
      </c>
      <c r="O24">
        <v>25</v>
      </c>
      <c r="P24">
        <v>190</v>
      </c>
    </row>
    <row r="25" spans="1:16" x14ac:dyDescent="0.15">
      <c r="A25" s="2" t="s">
        <v>65</v>
      </c>
      <c r="B25" s="1" t="s">
        <v>212</v>
      </c>
      <c r="C25" s="1" t="s">
        <v>232</v>
      </c>
      <c r="D25" s="9">
        <v>3100</v>
      </c>
      <c r="E25" s="1" t="b">
        <v>1</v>
      </c>
      <c r="F25" s="1">
        <v>100</v>
      </c>
      <c r="G25" s="1">
        <v>170</v>
      </c>
      <c r="H25" s="1" t="s">
        <v>291</v>
      </c>
      <c r="I25" s="1" t="s">
        <v>69</v>
      </c>
      <c r="J25" s="1" t="s">
        <v>6</v>
      </c>
      <c r="K25" s="1" t="s">
        <v>7</v>
      </c>
    </row>
    <row r="26" spans="1:16" x14ac:dyDescent="0.15">
      <c r="A26" s="2" t="s">
        <v>65</v>
      </c>
      <c r="B26" s="1" t="s">
        <v>213</v>
      </c>
      <c r="C26" s="1" t="s">
        <v>233</v>
      </c>
      <c r="D26" s="9">
        <v>3100</v>
      </c>
      <c r="E26" s="1" t="b">
        <v>1</v>
      </c>
      <c r="F26" s="1">
        <v>100</v>
      </c>
      <c r="G26" s="1">
        <v>190</v>
      </c>
      <c r="H26" s="1" t="s">
        <v>292</v>
      </c>
      <c r="I26" s="1" t="s">
        <v>69</v>
      </c>
      <c r="J26" s="1" t="s">
        <v>6</v>
      </c>
      <c r="K26" s="1" t="s">
        <v>7</v>
      </c>
    </row>
    <row r="27" spans="1:16" x14ac:dyDescent="0.15">
      <c r="A27" s="2" t="s">
        <v>65</v>
      </c>
      <c r="B27" s="1" t="s">
        <v>214</v>
      </c>
      <c r="C27" s="1" t="s">
        <v>234</v>
      </c>
      <c r="D27" s="9">
        <v>3100</v>
      </c>
      <c r="E27" s="1" t="b">
        <v>1</v>
      </c>
      <c r="F27" s="1">
        <v>150</v>
      </c>
      <c r="G27" s="1">
        <v>210</v>
      </c>
      <c r="H27" s="1" t="s">
        <v>293</v>
      </c>
      <c r="I27" s="1" t="s">
        <v>69</v>
      </c>
      <c r="J27" s="1" t="s">
        <v>6</v>
      </c>
      <c r="K27" s="1" t="s">
        <v>7</v>
      </c>
    </row>
    <row r="28" spans="1:16" x14ac:dyDescent="0.15">
      <c r="A28" s="2" t="s">
        <v>65</v>
      </c>
      <c r="B28" s="1" t="s">
        <v>215</v>
      </c>
      <c r="C28" s="1" t="s">
        <v>235</v>
      </c>
      <c r="D28" s="9">
        <v>3100</v>
      </c>
      <c r="E28" s="1" t="b">
        <v>1</v>
      </c>
      <c r="F28" s="1">
        <v>250</v>
      </c>
      <c r="G28" s="1">
        <v>210</v>
      </c>
      <c r="H28" s="1" t="s">
        <v>290</v>
      </c>
      <c r="I28" s="1" t="s">
        <v>69</v>
      </c>
      <c r="J28" s="1" t="s">
        <v>6</v>
      </c>
      <c r="K28" s="1" t="s">
        <v>7</v>
      </c>
    </row>
    <row r="29" spans="1:16" x14ac:dyDescent="0.15">
      <c r="A29" s="2" t="s">
        <v>65</v>
      </c>
      <c r="B29" s="1" t="s">
        <v>216</v>
      </c>
      <c r="C29" s="1" t="s">
        <v>236</v>
      </c>
      <c r="D29" s="9">
        <v>3100</v>
      </c>
      <c r="E29" s="1" t="b">
        <v>1</v>
      </c>
      <c r="F29" s="1">
        <v>250</v>
      </c>
      <c r="G29" s="1">
        <v>230</v>
      </c>
      <c r="H29" s="1" t="s">
        <v>294</v>
      </c>
      <c r="I29" s="1" t="s">
        <v>69</v>
      </c>
      <c r="J29" s="1" t="s">
        <v>6</v>
      </c>
      <c r="K29" s="1" t="s">
        <v>7</v>
      </c>
    </row>
    <row r="30" spans="1:16" x14ac:dyDescent="0.15">
      <c r="A30" s="2" t="s">
        <v>179</v>
      </c>
      <c r="B30" s="1" t="s">
        <v>217</v>
      </c>
      <c r="C30" s="1" t="s">
        <v>237</v>
      </c>
      <c r="D30" s="9">
        <v>3100</v>
      </c>
      <c r="E30" s="1" t="b">
        <v>1</v>
      </c>
      <c r="F30" s="1" t="s">
        <v>465</v>
      </c>
      <c r="G30" s="1">
        <v>180</v>
      </c>
      <c r="H30" s="1">
        <v>16</v>
      </c>
      <c r="I30" s="1">
        <v>100</v>
      </c>
      <c r="J30" s="1">
        <v>260</v>
      </c>
      <c r="K30" s="1">
        <v>100</v>
      </c>
      <c r="L30" s="1">
        <v>100</v>
      </c>
    </row>
    <row r="31" spans="1:16" x14ac:dyDescent="0.15">
      <c r="A31" s="1" t="s">
        <v>280</v>
      </c>
    </row>
    <row r="32" spans="1:16" s="9" customFormat="1" x14ac:dyDescent="0.15">
      <c r="A32" s="9" t="s">
        <v>61</v>
      </c>
      <c r="B32" s="9" t="s">
        <v>459</v>
      </c>
      <c r="C32" s="9" t="s">
        <v>464</v>
      </c>
      <c r="D32" s="9">
        <v>3050</v>
      </c>
      <c r="E32" s="9" t="b">
        <v>1</v>
      </c>
      <c r="F32" s="9" t="s">
        <v>58</v>
      </c>
      <c r="G32" s="9">
        <v>15</v>
      </c>
      <c r="H32" s="9">
        <v>15</v>
      </c>
      <c r="I32" s="9">
        <v>335</v>
      </c>
      <c r="J32" s="9">
        <v>155</v>
      </c>
      <c r="K32" s="9">
        <v>265</v>
      </c>
      <c r="L32" s="9">
        <v>110</v>
      </c>
    </row>
    <row r="33" spans="1:16" x14ac:dyDescent="0.15">
      <c r="A33" t="s">
        <v>36</v>
      </c>
      <c r="B33" t="s">
        <v>307</v>
      </c>
      <c r="C33" t="s">
        <v>296</v>
      </c>
      <c r="D33" s="9">
        <v>3100</v>
      </c>
      <c r="E33" s="1" t="b">
        <v>1</v>
      </c>
      <c r="F33" t="s">
        <v>283</v>
      </c>
      <c r="G33">
        <v>64</v>
      </c>
      <c r="H33">
        <v>64</v>
      </c>
      <c r="I33">
        <v>8</v>
      </c>
      <c r="J33">
        <v>1</v>
      </c>
      <c r="K33" s="1">
        <v>8</v>
      </c>
      <c r="L33">
        <v>5</v>
      </c>
      <c r="M33" t="b">
        <v>1</v>
      </c>
      <c r="N33" s="1" t="b">
        <v>0</v>
      </c>
      <c r="O33">
        <v>345</v>
      </c>
      <c r="P33" s="9">
        <v>190</v>
      </c>
    </row>
    <row r="34" spans="1:16" x14ac:dyDescent="0.15">
      <c r="A34" s="2" t="s">
        <v>65</v>
      </c>
      <c r="B34" s="1" t="s">
        <v>212</v>
      </c>
      <c r="C34" s="1" t="s">
        <v>284</v>
      </c>
      <c r="D34" s="9">
        <v>3100</v>
      </c>
      <c r="E34" s="1" t="b">
        <v>1</v>
      </c>
      <c r="F34" s="1">
        <v>420</v>
      </c>
      <c r="G34" s="1">
        <v>170</v>
      </c>
      <c r="H34" s="1" t="s">
        <v>285</v>
      </c>
      <c r="I34" s="1" t="s">
        <v>69</v>
      </c>
      <c r="J34" s="1" t="s">
        <v>6</v>
      </c>
      <c r="K34" s="1" t="s">
        <v>7</v>
      </c>
    </row>
    <row r="35" spans="1:16" x14ac:dyDescent="0.15">
      <c r="A35" s="2" t="s">
        <v>65</v>
      </c>
      <c r="B35" s="1" t="s">
        <v>213</v>
      </c>
      <c r="C35" s="1" t="s">
        <v>238</v>
      </c>
      <c r="D35" s="9">
        <v>3100</v>
      </c>
      <c r="E35" s="1" t="b">
        <v>1</v>
      </c>
      <c r="F35" s="1">
        <v>420</v>
      </c>
      <c r="G35" s="1">
        <v>190</v>
      </c>
      <c r="H35" s="1" t="s">
        <v>286</v>
      </c>
      <c r="I35" s="1" t="s">
        <v>69</v>
      </c>
      <c r="J35" s="1" t="s">
        <v>6</v>
      </c>
      <c r="K35" s="1" t="s">
        <v>7</v>
      </c>
    </row>
    <row r="36" spans="1:16" x14ac:dyDescent="0.15">
      <c r="A36" s="2" t="s">
        <v>65</v>
      </c>
      <c r="B36" s="1" t="s">
        <v>214</v>
      </c>
      <c r="C36" s="1" t="s">
        <v>239</v>
      </c>
      <c r="D36" s="9">
        <v>3100</v>
      </c>
      <c r="E36" s="1" t="b">
        <v>1</v>
      </c>
      <c r="F36" s="1">
        <v>470</v>
      </c>
      <c r="G36" s="1">
        <v>210</v>
      </c>
      <c r="H36" s="1" t="s">
        <v>287</v>
      </c>
      <c r="I36" s="1" t="s">
        <v>69</v>
      </c>
      <c r="J36" s="1" t="s">
        <v>6</v>
      </c>
      <c r="K36" s="1" t="s">
        <v>7</v>
      </c>
    </row>
    <row r="37" spans="1:16" x14ac:dyDescent="0.15">
      <c r="A37" s="2" t="s">
        <v>65</v>
      </c>
      <c r="B37" s="1" t="s">
        <v>215</v>
      </c>
      <c r="C37" s="1" t="s">
        <v>240</v>
      </c>
      <c r="D37" s="9">
        <v>3100</v>
      </c>
      <c r="E37" s="1" t="b">
        <v>1</v>
      </c>
      <c r="F37" s="1">
        <v>570</v>
      </c>
      <c r="G37" s="1">
        <v>210</v>
      </c>
      <c r="H37" s="1" t="s">
        <v>288</v>
      </c>
      <c r="I37" s="1" t="s">
        <v>69</v>
      </c>
      <c r="J37" s="1" t="s">
        <v>6</v>
      </c>
      <c r="K37" s="1" t="s">
        <v>7</v>
      </c>
    </row>
    <row r="38" spans="1:16" x14ac:dyDescent="0.15">
      <c r="A38" s="2" t="s">
        <v>65</v>
      </c>
      <c r="B38" s="1" t="s">
        <v>216</v>
      </c>
      <c r="C38" s="1" t="s">
        <v>241</v>
      </c>
      <c r="D38" s="9">
        <v>3100</v>
      </c>
      <c r="E38" s="1" t="b">
        <v>1</v>
      </c>
      <c r="F38" s="1">
        <v>570</v>
      </c>
      <c r="G38" s="1">
        <v>230</v>
      </c>
      <c r="H38" s="1" t="s">
        <v>289</v>
      </c>
      <c r="I38" s="1" t="s">
        <v>69</v>
      </c>
      <c r="J38" s="1" t="s">
        <v>6</v>
      </c>
      <c r="K38" s="1" t="s">
        <v>7</v>
      </c>
    </row>
    <row r="39" spans="1:16" x14ac:dyDescent="0.15">
      <c r="A39" s="2" t="s">
        <v>179</v>
      </c>
      <c r="B39" s="1" t="s">
        <v>217</v>
      </c>
      <c r="C39" s="1" t="s">
        <v>242</v>
      </c>
      <c r="D39" s="9">
        <v>3100</v>
      </c>
      <c r="E39" s="1" t="b">
        <v>1</v>
      </c>
      <c r="F39" s="1" t="s">
        <v>465</v>
      </c>
      <c r="G39" s="1">
        <v>180</v>
      </c>
      <c r="H39" s="1">
        <v>16</v>
      </c>
      <c r="I39" s="1">
        <v>420</v>
      </c>
      <c r="J39" s="1">
        <v>260</v>
      </c>
      <c r="K39" s="1">
        <v>100</v>
      </c>
      <c r="L39" s="1">
        <v>100</v>
      </c>
    </row>
    <row r="40" spans="1:16" x14ac:dyDescent="0.15">
      <c r="A40" s="1" t="s">
        <v>281</v>
      </c>
    </row>
    <row r="41" spans="1:16" s="9" customFormat="1" x14ac:dyDescent="0.15">
      <c r="A41" s="9" t="s">
        <v>61</v>
      </c>
      <c r="B41" s="9" t="s">
        <v>460</v>
      </c>
      <c r="C41" s="9" t="s">
        <v>463</v>
      </c>
      <c r="D41" s="9">
        <v>3050</v>
      </c>
      <c r="E41" s="9" t="b">
        <v>1</v>
      </c>
      <c r="F41" s="9" t="s">
        <v>58</v>
      </c>
      <c r="G41" s="9">
        <v>15</v>
      </c>
      <c r="H41" s="9">
        <v>15</v>
      </c>
      <c r="I41" s="9">
        <v>15</v>
      </c>
      <c r="J41" s="9">
        <v>315</v>
      </c>
      <c r="K41" s="9">
        <v>265</v>
      </c>
      <c r="L41" s="9">
        <v>110</v>
      </c>
    </row>
    <row r="42" spans="1:16" x14ac:dyDescent="0.15">
      <c r="A42" t="s">
        <v>36</v>
      </c>
      <c r="B42" t="s">
        <v>308</v>
      </c>
      <c r="C42" t="s">
        <v>309</v>
      </c>
      <c r="D42" s="9">
        <v>3100</v>
      </c>
      <c r="E42" s="1" t="b">
        <v>1</v>
      </c>
      <c r="F42" t="s">
        <v>283</v>
      </c>
      <c r="G42">
        <v>64</v>
      </c>
      <c r="H42">
        <v>64</v>
      </c>
      <c r="I42">
        <v>8</v>
      </c>
      <c r="J42">
        <v>1</v>
      </c>
      <c r="K42" s="1">
        <v>8</v>
      </c>
      <c r="L42">
        <v>5</v>
      </c>
      <c r="M42" t="b">
        <v>1</v>
      </c>
      <c r="N42" s="1" t="b">
        <v>0</v>
      </c>
      <c r="O42">
        <v>25</v>
      </c>
      <c r="P42">
        <v>350</v>
      </c>
    </row>
    <row r="43" spans="1:16" x14ac:dyDescent="0.15">
      <c r="A43" s="2" t="s">
        <v>65</v>
      </c>
      <c r="B43" s="1" t="s">
        <v>212</v>
      </c>
      <c r="C43" s="1" t="s">
        <v>243</v>
      </c>
      <c r="D43" s="9">
        <v>3100</v>
      </c>
      <c r="E43" s="1" t="b">
        <v>1</v>
      </c>
      <c r="F43" s="1">
        <v>100</v>
      </c>
      <c r="G43" s="1">
        <v>330</v>
      </c>
      <c r="H43" s="1" t="s">
        <v>297</v>
      </c>
      <c r="I43" s="1" t="s">
        <v>69</v>
      </c>
      <c r="J43" s="1" t="s">
        <v>6</v>
      </c>
      <c r="K43" s="1" t="s">
        <v>7</v>
      </c>
    </row>
    <row r="44" spans="1:16" x14ac:dyDescent="0.15">
      <c r="A44" s="2" t="s">
        <v>65</v>
      </c>
      <c r="B44" s="1" t="s">
        <v>213</v>
      </c>
      <c r="C44" s="1" t="s">
        <v>244</v>
      </c>
      <c r="D44" s="9">
        <v>3100</v>
      </c>
      <c r="E44" s="1" t="b">
        <v>1</v>
      </c>
      <c r="F44" s="1">
        <v>100</v>
      </c>
      <c r="G44" s="1">
        <v>350</v>
      </c>
      <c r="H44" s="1" t="s">
        <v>298</v>
      </c>
      <c r="I44" s="1" t="s">
        <v>69</v>
      </c>
      <c r="J44" s="1" t="s">
        <v>6</v>
      </c>
      <c r="K44" s="1" t="s">
        <v>7</v>
      </c>
    </row>
    <row r="45" spans="1:16" x14ac:dyDescent="0.15">
      <c r="A45" s="2" t="s">
        <v>65</v>
      </c>
      <c r="B45" s="1" t="s">
        <v>214</v>
      </c>
      <c r="C45" s="1" t="s">
        <v>245</v>
      </c>
      <c r="D45" s="9">
        <v>3100</v>
      </c>
      <c r="E45" s="1" t="b">
        <v>1</v>
      </c>
      <c r="F45" s="1">
        <v>150</v>
      </c>
      <c r="G45" s="1">
        <v>370</v>
      </c>
      <c r="H45" s="1" t="s">
        <v>299</v>
      </c>
      <c r="I45" s="1" t="s">
        <v>69</v>
      </c>
      <c r="J45" s="1" t="s">
        <v>6</v>
      </c>
      <c r="K45" s="1" t="s">
        <v>7</v>
      </c>
    </row>
    <row r="46" spans="1:16" x14ac:dyDescent="0.15">
      <c r="A46" s="2" t="s">
        <v>65</v>
      </c>
      <c r="B46" s="1" t="s">
        <v>215</v>
      </c>
      <c r="C46" s="1" t="s">
        <v>246</v>
      </c>
      <c r="D46" s="9">
        <v>3100</v>
      </c>
      <c r="E46" s="1" t="b">
        <v>1</v>
      </c>
      <c r="F46" s="1">
        <v>250</v>
      </c>
      <c r="G46" s="1">
        <v>370</v>
      </c>
      <c r="H46" s="1" t="s">
        <v>300</v>
      </c>
      <c r="I46" s="1" t="s">
        <v>69</v>
      </c>
      <c r="J46" s="1" t="s">
        <v>6</v>
      </c>
      <c r="K46" s="1" t="s">
        <v>7</v>
      </c>
    </row>
    <row r="47" spans="1:16" x14ac:dyDescent="0.15">
      <c r="A47" s="2" t="s">
        <v>65</v>
      </c>
      <c r="B47" s="1" t="s">
        <v>216</v>
      </c>
      <c r="C47" s="1" t="s">
        <v>247</v>
      </c>
      <c r="D47" s="9">
        <v>3100</v>
      </c>
      <c r="E47" s="1" t="b">
        <v>1</v>
      </c>
      <c r="F47" s="1">
        <v>250</v>
      </c>
      <c r="G47" s="1">
        <v>390</v>
      </c>
      <c r="H47" s="1" t="s">
        <v>301</v>
      </c>
      <c r="I47" s="1" t="s">
        <v>69</v>
      </c>
      <c r="J47" s="1" t="s">
        <v>6</v>
      </c>
      <c r="K47" s="1" t="s">
        <v>7</v>
      </c>
    </row>
    <row r="48" spans="1:16" x14ac:dyDescent="0.15">
      <c r="A48" s="2" t="s">
        <v>179</v>
      </c>
      <c r="B48" s="1" t="s">
        <v>217</v>
      </c>
      <c r="C48" s="1" t="s">
        <v>248</v>
      </c>
      <c r="D48" s="9">
        <v>3100</v>
      </c>
      <c r="E48" s="1" t="b">
        <v>1</v>
      </c>
      <c r="F48" s="1" t="s">
        <v>465</v>
      </c>
      <c r="G48" s="1">
        <v>180</v>
      </c>
      <c r="H48" s="1">
        <v>16</v>
      </c>
      <c r="I48" s="1">
        <v>100</v>
      </c>
      <c r="J48" s="1">
        <v>420</v>
      </c>
      <c r="K48" s="1">
        <v>100</v>
      </c>
      <c r="L48" s="1">
        <v>100</v>
      </c>
    </row>
    <row r="49" spans="1:27" x14ac:dyDescent="0.15">
      <c r="A49" s="1" t="s">
        <v>282</v>
      </c>
    </row>
    <row r="50" spans="1:27" s="9" customFormat="1" x14ac:dyDescent="0.15">
      <c r="A50" s="9" t="s">
        <v>61</v>
      </c>
      <c r="B50" s="9" t="s">
        <v>461</v>
      </c>
      <c r="C50" s="9" t="s">
        <v>462</v>
      </c>
      <c r="D50" s="9">
        <v>3050</v>
      </c>
      <c r="E50" s="9" t="b">
        <v>1</v>
      </c>
      <c r="F50" s="9" t="s">
        <v>58</v>
      </c>
      <c r="G50" s="9">
        <v>15</v>
      </c>
      <c r="H50" s="9">
        <v>15</v>
      </c>
      <c r="I50" s="9">
        <v>335</v>
      </c>
      <c r="J50" s="9">
        <v>315</v>
      </c>
      <c r="K50" s="9">
        <v>265</v>
      </c>
      <c r="L50" s="9">
        <v>110</v>
      </c>
    </row>
    <row r="51" spans="1:27" x14ac:dyDescent="0.15">
      <c r="A51" t="s">
        <v>36</v>
      </c>
      <c r="B51" t="s">
        <v>295</v>
      </c>
      <c r="C51" t="s">
        <v>310</v>
      </c>
      <c r="D51" s="9">
        <v>3100</v>
      </c>
      <c r="E51" s="1" t="b">
        <v>1</v>
      </c>
      <c r="F51" t="s">
        <v>283</v>
      </c>
      <c r="G51">
        <v>64</v>
      </c>
      <c r="H51">
        <v>64</v>
      </c>
      <c r="I51">
        <v>8</v>
      </c>
      <c r="J51">
        <v>1</v>
      </c>
      <c r="K51" s="1">
        <v>8</v>
      </c>
      <c r="L51">
        <v>5</v>
      </c>
      <c r="M51" t="b">
        <v>1</v>
      </c>
      <c r="N51" s="1" t="b">
        <v>0</v>
      </c>
      <c r="O51">
        <v>345</v>
      </c>
      <c r="P51">
        <v>350</v>
      </c>
    </row>
    <row r="52" spans="1:27" x14ac:dyDescent="0.15">
      <c r="A52" s="2" t="s">
        <v>65</v>
      </c>
      <c r="B52" s="1" t="s">
        <v>212</v>
      </c>
      <c r="C52" s="1" t="s">
        <v>249</v>
      </c>
      <c r="D52" s="9">
        <v>3100</v>
      </c>
      <c r="E52" s="1" t="b">
        <v>1</v>
      </c>
      <c r="F52" s="1">
        <v>420</v>
      </c>
      <c r="G52" s="1">
        <v>330</v>
      </c>
      <c r="H52" s="1" t="s">
        <v>302</v>
      </c>
      <c r="I52" s="1" t="s">
        <v>69</v>
      </c>
      <c r="J52" s="1" t="s">
        <v>6</v>
      </c>
      <c r="K52" s="1" t="s">
        <v>7</v>
      </c>
    </row>
    <row r="53" spans="1:27" x14ac:dyDescent="0.15">
      <c r="A53" s="2" t="s">
        <v>65</v>
      </c>
      <c r="B53" s="1" t="s">
        <v>213</v>
      </c>
      <c r="C53" s="1" t="s">
        <v>250</v>
      </c>
      <c r="D53" s="9">
        <v>3100</v>
      </c>
      <c r="E53" s="1" t="b">
        <v>1</v>
      </c>
      <c r="F53" s="1">
        <v>420</v>
      </c>
      <c r="G53" s="1">
        <v>350</v>
      </c>
      <c r="H53" s="1" t="s">
        <v>303</v>
      </c>
      <c r="I53" s="1" t="s">
        <v>69</v>
      </c>
      <c r="J53" s="1" t="s">
        <v>6</v>
      </c>
      <c r="K53" s="1" t="s">
        <v>7</v>
      </c>
    </row>
    <row r="54" spans="1:27" x14ac:dyDescent="0.15">
      <c r="A54" s="2" t="s">
        <v>65</v>
      </c>
      <c r="B54" s="1" t="s">
        <v>214</v>
      </c>
      <c r="C54" s="1" t="s">
        <v>251</v>
      </c>
      <c r="D54" s="9">
        <v>3100</v>
      </c>
      <c r="E54" s="1" t="b">
        <v>1</v>
      </c>
      <c r="F54" s="1">
        <v>470</v>
      </c>
      <c r="G54" s="1">
        <v>370</v>
      </c>
      <c r="H54" s="1" t="s">
        <v>304</v>
      </c>
      <c r="I54" s="1" t="s">
        <v>69</v>
      </c>
      <c r="J54" s="1" t="s">
        <v>6</v>
      </c>
      <c r="K54" s="1" t="s">
        <v>7</v>
      </c>
    </row>
    <row r="55" spans="1:27" x14ac:dyDescent="0.15">
      <c r="A55" s="2" t="s">
        <v>65</v>
      </c>
      <c r="B55" s="1" t="s">
        <v>215</v>
      </c>
      <c r="C55" s="1" t="s">
        <v>252</v>
      </c>
      <c r="D55" s="9">
        <v>3100</v>
      </c>
      <c r="E55" s="1" t="b">
        <v>1</v>
      </c>
      <c r="F55" s="1">
        <v>570</v>
      </c>
      <c r="G55" s="1">
        <v>370</v>
      </c>
      <c r="H55" s="1" t="s">
        <v>305</v>
      </c>
      <c r="I55" s="1" t="s">
        <v>69</v>
      </c>
      <c r="J55" s="1" t="s">
        <v>6</v>
      </c>
      <c r="K55" s="1" t="s">
        <v>7</v>
      </c>
    </row>
    <row r="56" spans="1:27" x14ac:dyDescent="0.15">
      <c r="A56" s="2" t="s">
        <v>65</v>
      </c>
      <c r="B56" s="1" t="s">
        <v>216</v>
      </c>
      <c r="C56" s="1" t="s">
        <v>253</v>
      </c>
      <c r="D56" s="9">
        <v>3100</v>
      </c>
      <c r="E56" s="1" t="b">
        <v>1</v>
      </c>
      <c r="F56" s="1">
        <v>570</v>
      </c>
      <c r="G56" s="1">
        <v>390</v>
      </c>
      <c r="H56" s="1" t="s">
        <v>306</v>
      </c>
      <c r="I56" s="1" t="s">
        <v>69</v>
      </c>
      <c r="J56" s="1" t="s">
        <v>6</v>
      </c>
      <c r="K56" s="1" t="s">
        <v>7</v>
      </c>
    </row>
    <row r="57" spans="1:27" x14ac:dyDescent="0.15">
      <c r="A57" s="2" t="s">
        <v>179</v>
      </c>
      <c r="B57" s="1" t="s">
        <v>217</v>
      </c>
      <c r="C57" s="1" t="s">
        <v>254</v>
      </c>
      <c r="D57" s="9">
        <v>3100</v>
      </c>
      <c r="E57" s="1" t="b">
        <v>1</v>
      </c>
      <c r="F57" s="1" t="s">
        <v>465</v>
      </c>
      <c r="G57" s="1">
        <v>180</v>
      </c>
      <c r="H57" s="1">
        <v>16</v>
      </c>
      <c r="I57" s="1">
        <v>420</v>
      </c>
      <c r="J57" s="1">
        <v>420</v>
      </c>
      <c r="K57" s="1">
        <v>100</v>
      </c>
      <c r="L57" s="1">
        <v>100</v>
      </c>
    </row>
    <row r="60" spans="1:27" customFormat="1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7" x14ac:dyDescent="0.15">
      <c r="A61" s="2" t="s">
        <v>218</v>
      </c>
      <c r="B61" t="s">
        <v>44</v>
      </c>
      <c r="C61" t="s">
        <v>9</v>
      </c>
      <c r="D61" t="s">
        <v>10</v>
      </c>
      <c r="E61" t="s">
        <v>11</v>
      </c>
      <c r="F61" t="s">
        <v>45</v>
      </c>
      <c r="G61" t="s">
        <v>46</v>
      </c>
      <c r="H61" t="s">
        <v>47</v>
      </c>
      <c r="I61" t="s">
        <v>15</v>
      </c>
      <c r="J61" t="s">
        <v>16</v>
      </c>
      <c r="K61" t="s">
        <v>38</v>
      </c>
      <c r="L61" t="s">
        <v>39</v>
      </c>
      <c r="M61" t="s">
        <v>48</v>
      </c>
      <c r="N61" t="s">
        <v>49</v>
      </c>
      <c r="O61" t="s">
        <v>50</v>
      </c>
      <c r="P61" t="s">
        <v>51</v>
      </c>
      <c r="Q61" t="s">
        <v>52</v>
      </c>
      <c r="R61" t="s">
        <v>53</v>
      </c>
      <c r="S61" t="s">
        <v>54</v>
      </c>
      <c r="T61" t="s">
        <v>55</v>
      </c>
      <c r="U61" t="s">
        <v>56</v>
      </c>
      <c r="V61" t="s">
        <v>160</v>
      </c>
      <c r="W61" t="s">
        <v>159</v>
      </c>
      <c r="X61"/>
      <c r="Y61"/>
      <c r="Z61"/>
      <c r="AA61"/>
    </row>
    <row r="62" spans="1:27" x14ac:dyDescent="0.15">
      <c r="A62" t="s">
        <v>311</v>
      </c>
      <c r="B62" s="1" t="s">
        <v>219</v>
      </c>
      <c r="C62" t="s">
        <v>317</v>
      </c>
      <c r="D62" s="13">
        <v>4000</v>
      </c>
      <c r="E62" s="13" t="b">
        <v>0</v>
      </c>
      <c r="F62" s="13" t="s">
        <v>58</v>
      </c>
      <c r="G62" s="13">
        <v>15</v>
      </c>
      <c r="H62" s="13">
        <v>15</v>
      </c>
      <c r="I62" s="13">
        <v>20</v>
      </c>
      <c r="J62" s="13">
        <v>153</v>
      </c>
      <c r="K62" s="13">
        <v>12</v>
      </c>
      <c r="L62" s="13">
        <v>13</v>
      </c>
      <c r="M62" s="13">
        <v>290</v>
      </c>
      <c r="N62" s="13">
        <v>200</v>
      </c>
      <c r="O62" s="13" t="s">
        <v>59</v>
      </c>
      <c r="P62" s="13">
        <v>290</v>
      </c>
      <c r="Q62" s="13">
        <v>25</v>
      </c>
      <c r="R62" s="13" t="s">
        <v>467</v>
      </c>
      <c r="S62" s="13">
        <v>311</v>
      </c>
      <c r="T62" s="13">
        <v>16</v>
      </c>
      <c r="U62" s="13" t="s">
        <v>5</v>
      </c>
      <c r="V62" s="13">
        <v>0</v>
      </c>
      <c r="W62" s="13">
        <v>15</v>
      </c>
      <c r="X62" s="13" t="s">
        <v>6</v>
      </c>
      <c r="Y62" s="13" t="s">
        <v>7</v>
      </c>
      <c r="Z62"/>
    </row>
    <row r="63" spans="1:27" x14ac:dyDescent="0.15">
      <c r="A63" s="14" t="s">
        <v>65</v>
      </c>
      <c r="B63" s="14" t="s">
        <v>468</v>
      </c>
      <c r="C63" s="14" t="s">
        <v>469</v>
      </c>
      <c r="D63" s="14">
        <v>4010</v>
      </c>
      <c r="E63" s="14" t="b">
        <v>0</v>
      </c>
      <c r="F63" s="14">
        <v>35</v>
      </c>
      <c r="G63" s="14">
        <v>165</v>
      </c>
      <c r="H63" s="14" t="s">
        <v>470</v>
      </c>
      <c r="I63" s="14" t="s">
        <v>69</v>
      </c>
      <c r="J63" s="14" t="s">
        <v>6</v>
      </c>
      <c r="K63" s="14" t="s">
        <v>7</v>
      </c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3"/>
    </row>
    <row r="64" spans="1:27" x14ac:dyDescent="0.15">
      <c r="A64" s="2" t="s">
        <v>223</v>
      </c>
      <c r="B64" s="1" t="s">
        <v>312</v>
      </c>
      <c r="C64" s="1" t="s">
        <v>226</v>
      </c>
    </row>
    <row r="65" spans="1:11" x14ac:dyDescent="0.15">
      <c r="A65" s="2" t="s">
        <v>221</v>
      </c>
      <c r="B65" s="1" t="s">
        <v>224</v>
      </c>
      <c r="C65" s="1" t="s">
        <v>226</v>
      </c>
    </row>
    <row r="66" spans="1:11" x14ac:dyDescent="0.15">
      <c r="A66" s="2" t="s">
        <v>222</v>
      </c>
      <c r="B66" s="1" t="s">
        <v>225</v>
      </c>
      <c r="C66" s="1" t="s">
        <v>226</v>
      </c>
    </row>
    <row r="67" spans="1:11" x14ac:dyDescent="0.15">
      <c r="A67" s="2"/>
    </row>
    <row r="68" spans="1:11" x14ac:dyDescent="0.15">
      <c r="A68" s="2"/>
    </row>
    <row r="69" spans="1:11" x14ac:dyDescent="0.15">
      <c r="A69" s="2" t="s">
        <v>318</v>
      </c>
    </row>
    <row r="70" spans="1:11" x14ac:dyDescent="0.15">
      <c r="A70" s="1" t="s">
        <v>211</v>
      </c>
    </row>
    <row r="71" spans="1:11" x14ac:dyDescent="0.15">
      <c r="A71" s="2" t="s">
        <v>65</v>
      </c>
      <c r="B71" s="1" t="s">
        <v>319</v>
      </c>
      <c r="C71" s="1" t="s">
        <v>322</v>
      </c>
      <c r="D71" s="9">
        <v>3100</v>
      </c>
      <c r="E71" s="1" t="b">
        <v>1</v>
      </c>
      <c r="F71" s="1">
        <v>100</v>
      </c>
      <c r="G71" s="1">
        <v>210</v>
      </c>
      <c r="H71" s="1" t="s">
        <v>326</v>
      </c>
      <c r="I71" s="1" t="s">
        <v>69</v>
      </c>
      <c r="J71" s="1" t="s">
        <v>6</v>
      </c>
      <c r="K71" s="1" t="s">
        <v>7</v>
      </c>
    </row>
    <row r="72" spans="1:11" x14ac:dyDescent="0.15">
      <c r="A72" s="2" t="s">
        <v>65</v>
      </c>
      <c r="B72" s="1" t="s">
        <v>320</v>
      </c>
      <c r="C72" s="1" t="s">
        <v>330</v>
      </c>
      <c r="D72" s="9">
        <v>3100</v>
      </c>
      <c r="E72" s="1" t="b">
        <v>1</v>
      </c>
      <c r="F72" s="1">
        <v>180</v>
      </c>
      <c r="G72" s="1">
        <v>210</v>
      </c>
      <c r="H72" s="1" t="s">
        <v>327</v>
      </c>
      <c r="I72" s="1" t="s">
        <v>69</v>
      </c>
      <c r="J72" s="1" t="s">
        <v>6</v>
      </c>
      <c r="K72" s="1" t="s">
        <v>7</v>
      </c>
    </row>
    <row r="73" spans="1:11" x14ac:dyDescent="0.15">
      <c r="A73" s="2" t="s">
        <v>65</v>
      </c>
      <c r="B73" s="1" t="s">
        <v>321</v>
      </c>
      <c r="C73" s="1" t="s">
        <v>323</v>
      </c>
      <c r="D73" s="9">
        <v>3100</v>
      </c>
      <c r="E73" s="1" t="b">
        <v>1</v>
      </c>
      <c r="F73" s="1">
        <v>200</v>
      </c>
      <c r="G73" s="1">
        <v>210</v>
      </c>
      <c r="H73" s="1" t="s">
        <v>326</v>
      </c>
      <c r="I73" s="1" t="s">
        <v>69</v>
      </c>
      <c r="J73" s="1" t="s">
        <v>6</v>
      </c>
      <c r="K73" s="1" t="s">
        <v>7</v>
      </c>
    </row>
    <row r="74" spans="1:11" x14ac:dyDescent="0.15">
      <c r="A74" s="2" t="s">
        <v>65</v>
      </c>
      <c r="B74" s="1" t="s">
        <v>324</v>
      </c>
      <c r="C74" s="1" t="s">
        <v>325</v>
      </c>
      <c r="D74" s="9">
        <v>3100</v>
      </c>
      <c r="E74" s="1" t="b">
        <v>1</v>
      </c>
      <c r="F74" s="1">
        <v>100</v>
      </c>
      <c r="G74" s="1">
        <v>230</v>
      </c>
      <c r="H74" s="1" t="s">
        <v>328</v>
      </c>
      <c r="I74" s="1" t="s">
        <v>69</v>
      </c>
      <c r="J74" s="1" t="s">
        <v>6</v>
      </c>
      <c r="K74" s="1" t="s">
        <v>7</v>
      </c>
    </row>
    <row r="75" spans="1:11" x14ac:dyDescent="0.15">
      <c r="A75" s="1" t="s">
        <v>280</v>
      </c>
    </row>
    <row r="76" spans="1:11" x14ac:dyDescent="0.15">
      <c r="A76" s="2" t="s">
        <v>65</v>
      </c>
      <c r="B76" s="1" t="s">
        <v>319</v>
      </c>
      <c r="C76" s="1" t="s">
        <v>329</v>
      </c>
      <c r="D76" s="9">
        <v>3100</v>
      </c>
      <c r="E76" s="1" t="b">
        <v>1</v>
      </c>
      <c r="F76" s="1">
        <v>420</v>
      </c>
      <c r="G76" s="1">
        <v>210</v>
      </c>
      <c r="H76" s="1" t="s">
        <v>326</v>
      </c>
      <c r="I76" s="1" t="s">
        <v>69</v>
      </c>
      <c r="J76" s="1" t="s">
        <v>6</v>
      </c>
      <c r="K76" s="1" t="s">
        <v>7</v>
      </c>
    </row>
    <row r="77" spans="1:11" x14ac:dyDescent="0.15">
      <c r="A77" s="2" t="s">
        <v>65</v>
      </c>
      <c r="B77" s="1" t="s">
        <v>320</v>
      </c>
      <c r="C77" s="1" t="s">
        <v>331</v>
      </c>
      <c r="D77" s="9">
        <v>3100</v>
      </c>
      <c r="E77" s="1" t="b">
        <v>1</v>
      </c>
      <c r="F77" s="1">
        <v>500</v>
      </c>
      <c r="G77" s="1">
        <v>210</v>
      </c>
      <c r="H77" s="1" t="s">
        <v>327</v>
      </c>
      <c r="I77" s="1" t="s">
        <v>69</v>
      </c>
      <c r="J77" s="1" t="s">
        <v>6</v>
      </c>
      <c r="K77" s="1" t="s">
        <v>7</v>
      </c>
    </row>
    <row r="78" spans="1:11" x14ac:dyDescent="0.15">
      <c r="A78" s="2" t="s">
        <v>65</v>
      </c>
      <c r="B78" s="1" t="s">
        <v>321</v>
      </c>
      <c r="C78" s="1" t="s">
        <v>332</v>
      </c>
      <c r="D78" s="9">
        <v>3100</v>
      </c>
      <c r="E78" s="1" t="b">
        <v>1</v>
      </c>
      <c r="F78" s="1">
        <v>520</v>
      </c>
      <c r="G78" s="1">
        <v>210</v>
      </c>
      <c r="H78" s="1" t="s">
        <v>326</v>
      </c>
      <c r="I78" s="1" t="s">
        <v>69</v>
      </c>
      <c r="J78" s="1" t="s">
        <v>6</v>
      </c>
      <c r="K78" s="1" t="s">
        <v>7</v>
      </c>
    </row>
    <row r="79" spans="1:11" x14ac:dyDescent="0.15">
      <c r="A79" s="2" t="s">
        <v>65</v>
      </c>
      <c r="B79" s="1" t="s">
        <v>324</v>
      </c>
      <c r="C79" s="1" t="s">
        <v>333</v>
      </c>
      <c r="D79" s="9">
        <v>3100</v>
      </c>
      <c r="E79" s="1" t="b">
        <v>1</v>
      </c>
      <c r="F79" s="1">
        <v>420</v>
      </c>
      <c r="G79" s="1">
        <v>230</v>
      </c>
      <c r="H79" s="1" t="s">
        <v>328</v>
      </c>
      <c r="I79" s="1" t="s">
        <v>69</v>
      </c>
      <c r="J79" s="1" t="s">
        <v>6</v>
      </c>
      <c r="K79" s="1" t="s">
        <v>7</v>
      </c>
    </row>
    <row r="80" spans="1:11" x14ac:dyDescent="0.15">
      <c r="A80" s="1" t="s">
        <v>281</v>
      </c>
    </row>
    <row r="81" spans="1:11" x14ac:dyDescent="0.15">
      <c r="A81" s="2" t="s">
        <v>65</v>
      </c>
      <c r="B81" s="1" t="s">
        <v>319</v>
      </c>
      <c r="C81" s="1" t="s">
        <v>334</v>
      </c>
      <c r="D81" s="9">
        <v>3100</v>
      </c>
      <c r="E81" s="1" t="b">
        <v>1</v>
      </c>
      <c r="F81" s="1">
        <v>100</v>
      </c>
      <c r="G81" s="1">
        <v>370</v>
      </c>
      <c r="H81" s="1" t="s">
        <v>326</v>
      </c>
      <c r="I81" s="1" t="s">
        <v>69</v>
      </c>
      <c r="J81" s="1" t="s">
        <v>6</v>
      </c>
      <c r="K81" s="1" t="s">
        <v>7</v>
      </c>
    </row>
    <row r="82" spans="1:11" x14ac:dyDescent="0.15">
      <c r="A82" s="2" t="s">
        <v>65</v>
      </c>
      <c r="B82" s="1" t="s">
        <v>320</v>
      </c>
      <c r="C82" s="1" t="s">
        <v>335</v>
      </c>
      <c r="D82" s="9">
        <v>3100</v>
      </c>
      <c r="E82" s="1" t="b">
        <v>1</v>
      </c>
      <c r="F82" s="1">
        <v>180</v>
      </c>
      <c r="G82" s="1">
        <v>370</v>
      </c>
      <c r="H82" s="1" t="s">
        <v>327</v>
      </c>
      <c r="I82" s="1" t="s">
        <v>69</v>
      </c>
      <c r="J82" s="1" t="s">
        <v>6</v>
      </c>
      <c r="K82" s="1" t="s">
        <v>7</v>
      </c>
    </row>
    <row r="83" spans="1:11" x14ac:dyDescent="0.15">
      <c r="A83" s="2" t="s">
        <v>65</v>
      </c>
      <c r="B83" s="1" t="s">
        <v>321</v>
      </c>
      <c r="C83" s="1" t="s">
        <v>336</v>
      </c>
      <c r="D83" s="9">
        <v>3100</v>
      </c>
      <c r="E83" s="1" t="b">
        <v>1</v>
      </c>
      <c r="F83" s="1">
        <v>200</v>
      </c>
      <c r="G83" s="1">
        <v>370</v>
      </c>
      <c r="H83" s="1" t="s">
        <v>326</v>
      </c>
      <c r="I83" s="1" t="s">
        <v>69</v>
      </c>
      <c r="J83" s="1" t="s">
        <v>6</v>
      </c>
      <c r="K83" s="1" t="s">
        <v>7</v>
      </c>
    </row>
    <row r="84" spans="1:11" x14ac:dyDescent="0.15">
      <c r="A84" s="2" t="s">
        <v>65</v>
      </c>
      <c r="B84" s="1" t="s">
        <v>324</v>
      </c>
      <c r="C84" s="1" t="s">
        <v>337</v>
      </c>
      <c r="D84" s="9">
        <v>3100</v>
      </c>
      <c r="E84" s="1" t="b">
        <v>1</v>
      </c>
      <c r="F84" s="1">
        <v>100</v>
      </c>
      <c r="G84" s="1">
        <v>390</v>
      </c>
      <c r="H84" s="1" t="s">
        <v>328</v>
      </c>
      <c r="I84" s="1" t="s">
        <v>69</v>
      </c>
      <c r="J84" s="1" t="s">
        <v>6</v>
      </c>
      <c r="K84" s="1" t="s">
        <v>7</v>
      </c>
    </row>
    <row r="85" spans="1:11" x14ac:dyDescent="0.15">
      <c r="A85" s="1" t="s">
        <v>282</v>
      </c>
    </row>
    <row r="86" spans="1:11" x14ac:dyDescent="0.15">
      <c r="A86" s="2" t="s">
        <v>65</v>
      </c>
      <c r="B86" s="1" t="s">
        <v>319</v>
      </c>
      <c r="C86" s="1" t="s">
        <v>338</v>
      </c>
      <c r="D86" s="9">
        <v>3100</v>
      </c>
      <c r="E86" s="1" t="b">
        <v>1</v>
      </c>
      <c r="F86" s="1">
        <v>420</v>
      </c>
      <c r="G86" s="1">
        <v>370</v>
      </c>
      <c r="H86" s="1" t="s">
        <v>326</v>
      </c>
      <c r="I86" s="1" t="s">
        <v>69</v>
      </c>
      <c r="J86" s="1" t="s">
        <v>6</v>
      </c>
      <c r="K86" s="1" t="s">
        <v>7</v>
      </c>
    </row>
    <row r="87" spans="1:11" x14ac:dyDescent="0.15">
      <c r="A87" s="2" t="s">
        <v>65</v>
      </c>
      <c r="B87" s="1" t="s">
        <v>320</v>
      </c>
      <c r="C87" s="1" t="s">
        <v>339</v>
      </c>
      <c r="D87" s="9">
        <v>3100</v>
      </c>
      <c r="E87" s="1" t="b">
        <v>1</v>
      </c>
      <c r="F87" s="1">
        <v>500</v>
      </c>
      <c r="G87" s="1">
        <v>370</v>
      </c>
      <c r="H87" s="1" t="s">
        <v>327</v>
      </c>
      <c r="I87" s="1" t="s">
        <v>69</v>
      </c>
      <c r="J87" s="1" t="s">
        <v>6</v>
      </c>
      <c r="K87" s="1" t="s">
        <v>7</v>
      </c>
    </row>
    <row r="88" spans="1:11" x14ac:dyDescent="0.15">
      <c r="A88" s="2" t="s">
        <v>65</v>
      </c>
      <c r="B88" s="1" t="s">
        <v>321</v>
      </c>
      <c r="C88" s="1" t="s">
        <v>340</v>
      </c>
      <c r="D88" s="9">
        <v>3100</v>
      </c>
      <c r="E88" s="1" t="b">
        <v>1</v>
      </c>
      <c r="F88" s="1">
        <v>520</v>
      </c>
      <c r="G88" s="1">
        <v>370</v>
      </c>
      <c r="H88" s="1" t="s">
        <v>326</v>
      </c>
      <c r="I88" s="1" t="s">
        <v>69</v>
      </c>
      <c r="J88" s="1" t="s">
        <v>6</v>
      </c>
      <c r="K88" s="1" t="s">
        <v>7</v>
      </c>
    </row>
    <row r="89" spans="1:11" x14ac:dyDescent="0.15">
      <c r="A89" s="2" t="s">
        <v>65</v>
      </c>
      <c r="B89" s="1" t="s">
        <v>324</v>
      </c>
      <c r="C89" s="1" t="s">
        <v>341</v>
      </c>
      <c r="D89" s="9">
        <v>3100</v>
      </c>
      <c r="E89" s="1" t="b">
        <v>1</v>
      </c>
      <c r="F89" s="1">
        <v>420</v>
      </c>
      <c r="G89" s="1">
        <v>390</v>
      </c>
      <c r="H89" s="1" t="s">
        <v>328</v>
      </c>
      <c r="I89" s="1" t="s">
        <v>69</v>
      </c>
      <c r="J89" s="1" t="s">
        <v>6</v>
      </c>
      <c r="K89" s="1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outputCSV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2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2"/>
  <sheetViews>
    <sheetView workbookViewId="0">
      <selection activeCell="H22" sqref="H22"/>
    </sheetView>
  </sheetViews>
  <sheetFormatPr defaultRowHeight="13.5" x14ac:dyDescent="0.15"/>
  <cols>
    <col min="1" max="1" width="28.75" customWidth="1"/>
    <col min="3" max="3" width="22.375" bestFit="1" customWidth="1"/>
  </cols>
  <sheetData>
    <row r="1" spans="1:16" x14ac:dyDescent="0.15">
      <c r="A1" t="s">
        <v>204</v>
      </c>
    </row>
    <row r="2" spans="1:16" x14ac:dyDescent="0.15">
      <c r="A2" t="s">
        <v>0</v>
      </c>
    </row>
    <row r="3" spans="1:16" x14ac:dyDescent="0.15">
      <c r="A3" t="s">
        <v>203</v>
      </c>
    </row>
    <row r="4" spans="1:16" x14ac:dyDescent="0.15">
      <c r="A4" t="s">
        <v>0</v>
      </c>
    </row>
    <row r="6" spans="1:16" x14ac:dyDescent="0.15">
      <c r="A6" t="s">
        <v>29</v>
      </c>
    </row>
    <row r="7" spans="1:16" x14ac:dyDescent="0.15">
      <c r="A7" t="s">
        <v>30</v>
      </c>
      <c r="B7" t="s">
        <v>31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32</v>
      </c>
      <c r="J7" t="s">
        <v>33</v>
      </c>
      <c r="K7" t="s">
        <v>384</v>
      </c>
      <c r="L7" t="s">
        <v>34</v>
      </c>
      <c r="M7" t="s">
        <v>35</v>
      </c>
      <c r="N7" t="s">
        <v>385</v>
      </c>
      <c r="O7" t="s">
        <v>15</v>
      </c>
      <c r="P7" t="s">
        <v>16</v>
      </c>
    </row>
    <row r="8" spans="1:16" x14ac:dyDescent="0.15">
      <c r="A8" t="s">
        <v>36</v>
      </c>
      <c r="B8" t="s">
        <v>23</v>
      </c>
      <c r="C8" t="s">
        <v>202</v>
      </c>
      <c r="D8">
        <v>1000</v>
      </c>
      <c r="E8" t="b">
        <v>1</v>
      </c>
      <c r="F8" t="s">
        <v>198</v>
      </c>
      <c r="G8">
        <v>100</v>
      </c>
      <c r="H8">
        <v>100</v>
      </c>
      <c r="I8">
        <v>1</v>
      </c>
      <c r="J8">
        <v>1</v>
      </c>
      <c r="K8">
        <v>1</v>
      </c>
      <c r="L8">
        <v>5</v>
      </c>
      <c r="M8" t="b">
        <v>1</v>
      </c>
      <c r="N8" t="b">
        <v>0</v>
      </c>
      <c r="O8" s="4">
        <v>417</v>
      </c>
      <c r="P8" s="4">
        <v>181</v>
      </c>
    </row>
    <row r="9" spans="1:16" x14ac:dyDescent="0.15">
      <c r="A9" t="s">
        <v>36</v>
      </c>
      <c r="B9" t="s">
        <v>26</v>
      </c>
      <c r="C9" t="s">
        <v>201</v>
      </c>
      <c r="D9">
        <v>1000</v>
      </c>
      <c r="E9" t="b">
        <v>1</v>
      </c>
      <c r="F9" t="s">
        <v>198</v>
      </c>
      <c r="G9">
        <v>100</v>
      </c>
      <c r="H9">
        <v>100</v>
      </c>
      <c r="I9">
        <v>1</v>
      </c>
      <c r="J9">
        <v>1</v>
      </c>
      <c r="K9">
        <v>1</v>
      </c>
      <c r="L9">
        <v>5</v>
      </c>
      <c r="M9" t="b">
        <v>1</v>
      </c>
      <c r="N9" t="b">
        <v>0</v>
      </c>
      <c r="O9" s="4">
        <v>465</v>
      </c>
      <c r="P9" s="4">
        <v>230</v>
      </c>
    </row>
    <row r="10" spans="1:16" x14ac:dyDescent="0.15">
      <c r="A10" t="s">
        <v>36</v>
      </c>
      <c r="B10" t="s">
        <v>27</v>
      </c>
      <c r="C10" t="s">
        <v>200</v>
      </c>
      <c r="D10">
        <v>1000</v>
      </c>
      <c r="E10" t="b">
        <v>1</v>
      </c>
      <c r="F10" t="s">
        <v>198</v>
      </c>
      <c r="G10">
        <v>100</v>
      </c>
      <c r="H10">
        <v>100</v>
      </c>
      <c r="I10">
        <v>1</v>
      </c>
      <c r="J10">
        <v>1</v>
      </c>
      <c r="K10">
        <v>1</v>
      </c>
      <c r="L10">
        <v>5</v>
      </c>
      <c r="M10" t="b">
        <v>1</v>
      </c>
      <c r="N10" t="b">
        <v>0</v>
      </c>
      <c r="O10" s="4">
        <v>417</v>
      </c>
      <c r="P10" s="4">
        <v>281</v>
      </c>
    </row>
    <row r="11" spans="1:16" x14ac:dyDescent="0.15">
      <c r="A11" t="s">
        <v>36</v>
      </c>
      <c r="B11" t="s">
        <v>28</v>
      </c>
      <c r="C11" t="s">
        <v>199</v>
      </c>
      <c r="D11">
        <v>1000</v>
      </c>
      <c r="E11" t="b">
        <v>1</v>
      </c>
      <c r="F11" t="s">
        <v>198</v>
      </c>
      <c r="G11">
        <v>100</v>
      </c>
      <c r="H11">
        <v>100</v>
      </c>
      <c r="I11">
        <v>1</v>
      </c>
      <c r="J11">
        <v>1</v>
      </c>
      <c r="K11">
        <v>1</v>
      </c>
      <c r="L11">
        <v>5</v>
      </c>
      <c r="M11" t="b">
        <v>1</v>
      </c>
      <c r="N11" t="b">
        <v>0</v>
      </c>
      <c r="O11" s="4">
        <v>367</v>
      </c>
      <c r="P11" s="4">
        <v>231</v>
      </c>
    </row>
    <row r="12" spans="1:16" x14ac:dyDescent="0.15">
      <c r="O12" s="4"/>
      <c r="P12" s="4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"/>
  <sheetViews>
    <sheetView topLeftCell="B1" workbookViewId="0">
      <selection activeCell="D10" sqref="D10"/>
    </sheetView>
  </sheetViews>
  <sheetFormatPr defaultRowHeight="13.5" x14ac:dyDescent="0.15"/>
  <cols>
    <col min="1" max="1" width="26.375" bestFit="1" customWidth="1"/>
    <col min="2" max="2" width="18.375" bestFit="1" customWidth="1"/>
    <col min="3" max="3" width="32.375" bestFit="1" customWidth="1"/>
    <col min="4" max="4" width="5.5" bestFit="1" customWidth="1"/>
    <col min="5" max="5" width="6" bestFit="1" customWidth="1"/>
    <col min="6" max="6" width="6.625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4" width="3.5" bestFit="1" customWidth="1"/>
  </cols>
  <sheetData>
    <row r="1" spans="1:12" x14ac:dyDescent="0.15">
      <c r="A1" t="s">
        <v>123</v>
      </c>
    </row>
    <row r="4" spans="1:12" x14ac:dyDescent="0.15">
      <c r="A4" t="s">
        <v>60</v>
      </c>
    </row>
    <row r="5" spans="1:12" x14ac:dyDescent="0.15">
      <c r="A5" t="s">
        <v>61</v>
      </c>
      <c r="B5" t="s">
        <v>122</v>
      </c>
      <c r="C5" t="s">
        <v>314</v>
      </c>
      <c r="D5">
        <v>4000</v>
      </c>
      <c r="E5" s="10" t="b">
        <v>1</v>
      </c>
      <c r="F5" s="10" t="s">
        <v>58</v>
      </c>
      <c r="G5" s="10">
        <v>15</v>
      </c>
      <c r="H5" s="10">
        <v>15</v>
      </c>
      <c r="I5" s="10">
        <v>355</v>
      </c>
      <c r="J5" s="10">
        <v>145</v>
      </c>
      <c r="K5" s="10">
        <v>250</v>
      </c>
      <c r="L5" s="10">
        <v>32</v>
      </c>
    </row>
    <row r="6" spans="1:12" x14ac:dyDescent="0.15">
      <c r="A6" t="s">
        <v>121</v>
      </c>
      <c r="E6" s="10"/>
      <c r="F6" s="10"/>
      <c r="G6" s="10"/>
      <c r="H6" s="10"/>
      <c r="I6" s="10"/>
      <c r="J6" s="10"/>
      <c r="K6" s="10"/>
      <c r="L6" s="10"/>
    </row>
    <row r="7" spans="1:12" x14ac:dyDescent="0.15">
      <c r="A7" t="s">
        <v>65</v>
      </c>
      <c r="B7" t="s">
        <v>119</v>
      </c>
      <c r="C7" t="s">
        <v>257</v>
      </c>
      <c r="D7">
        <v>4010</v>
      </c>
      <c r="E7" s="10" t="b">
        <v>1</v>
      </c>
      <c r="F7" s="10">
        <v>368</v>
      </c>
      <c r="G7" s="10">
        <v>158</v>
      </c>
      <c r="H7" s="10" t="s">
        <v>113</v>
      </c>
      <c r="I7" s="10" t="s">
        <v>69</v>
      </c>
      <c r="J7" s="10" t="s">
        <v>6</v>
      </c>
      <c r="K7" s="10" t="s">
        <v>7</v>
      </c>
      <c r="L7" s="10"/>
    </row>
    <row r="8" spans="1:12" x14ac:dyDescent="0.15">
      <c r="A8" t="s">
        <v>120</v>
      </c>
      <c r="E8" s="10"/>
      <c r="F8" s="10"/>
      <c r="G8" s="10"/>
      <c r="H8" s="10"/>
      <c r="I8" s="10"/>
      <c r="J8" s="10"/>
      <c r="K8" s="10"/>
      <c r="L8" s="10"/>
    </row>
    <row r="9" spans="1:12" x14ac:dyDescent="0.15">
      <c r="A9" t="s">
        <v>65</v>
      </c>
      <c r="B9" t="s">
        <v>119</v>
      </c>
      <c r="C9" t="s">
        <v>256</v>
      </c>
      <c r="D9" s="11">
        <v>4010</v>
      </c>
      <c r="E9" s="10" t="b">
        <v>1</v>
      </c>
      <c r="F9" s="10">
        <v>540</v>
      </c>
      <c r="G9" s="10">
        <v>178</v>
      </c>
      <c r="H9" s="10" t="s">
        <v>466</v>
      </c>
      <c r="I9" s="10" t="s">
        <v>69</v>
      </c>
      <c r="J9" s="10" t="s">
        <v>6</v>
      </c>
      <c r="K9" s="10" t="s">
        <v>7</v>
      </c>
      <c r="L9" s="10"/>
    </row>
    <row r="10" spans="1:12" x14ac:dyDescent="0.15">
      <c r="A10" t="s">
        <v>65</v>
      </c>
      <c r="B10" t="s">
        <v>119</v>
      </c>
      <c r="C10" t="s">
        <v>255</v>
      </c>
      <c r="D10" s="11">
        <v>4010</v>
      </c>
      <c r="E10" s="10" t="b">
        <v>1</v>
      </c>
      <c r="F10" s="10">
        <v>580</v>
      </c>
      <c r="G10" s="10">
        <v>178</v>
      </c>
      <c r="H10" s="10" t="s">
        <v>83</v>
      </c>
      <c r="I10" s="10" t="s">
        <v>69</v>
      </c>
      <c r="J10" s="10" t="s">
        <v>6</v>
      </c>
      <c r="K10" s="10" t="s">
        <v>7</v>
      </c>
      <c r="L10" s="10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409575</xdr:colOff>
                    <xdr:row>0</xdr:row>
                    <xdr:rowOff>66675</xdr:rowOff>
                  </from>
                  <to>
                    <xdr:col>4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9"/>
  <sheetViews>
    <sheetView workbookViewId="0">
      <selection activeCell="D10" sqref="D10"/>
    </sheetView>
  </sheetViews>
  <sheetFormatPr defaultRowHeight="13.5" x14ac:dyDescent="0.15"/>
  <cols>
    <col min="1" max="1" width="26.375" bestFit="1" customWidth="1"/>
    <col min="2" max="2" width="15.125" bestFit="1" customWidth="1"/>
    <col min="3" max="3" width="28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3.5" bestFit="1" customWidth="1"/>
  </cols>
  <sheetData>
    <row r="1" spans="1:12" x14ac:dyDescent="0.15">
      <c r="A1" t="s">
        <v>118</v>
      </c>
    </row>
    <row r="5" spans="1:12" x14ac:dyDescent="0.15">
      <c r="A5" t="s">
        <v>60</v>
      </c>
    </row>
    <row r="6" spans="1:12" x14ac:dyDescent="0.15">
      <c r="A6" t="s">
        <v>61</v>
      </c>
      <c r="B6" t="s">
        <v>117</v>
      </c>
      <c r="C6" t="s">
        <v>313</v>
      </c>
      <c r="D6">
        <v>4000</v>
      </c>
      <c r="E6" s="11" t="b">
        <v>1</v>
      </c>
      <c r="F6" s="11" t="s">
        <v>58</v>
      </c>
      <c r="G6" s="11">
        <v>15</v>
      </c>
      <c r="H6" s="11">
        <v>15</v>
      </c>
      <c r="I6" s="11">
        <v>400</v>
      </c>
      <c r="J6" s="11">
        <v>210</v>
      </c>
      <c r="K6" s="11">
        <v>200</v>
      </c>
      <c r="L6" s="11">
        <v>32</v>
      </c>
    </row>
    <row r="7" spans="1:12" x14ac:dyDescent="0.15">
      <c r="A7" t="s">
        <v>116</v>
      </c>
      <c r="E7" s="11"/>
      <c r="F7" s="11"/>
      <c r="G7" s="11"/>
      <c r="H7" s="11"/>
      <c r="I7" s="11"/>
      <c r="J7" s="11"/>
      <c r="K7" s="11"/>
      <c r="L7" s="11"/>
    </row>
    <row r="8" spans="1:12" x14ac:dyDescent="0.15">
      <c r="A8" t="s">
        <v>65</v>
      </c>
      <c r="B8" t="s">
        <v>115</v>
      </c>
      <c r="C8" t="s">
        <v>258</v>
      </c>
      <c r="D8">
        <v>4010</v>
      </c>
      <c r="E8" s="11" t="b">
        <v>1</v>
      </c>
      <c r="F8" s="11">
        <v>413</v>
      </c>
      <c r="G8" s="11">
        <v>223</v>
      </c>
      <c r="H8" s="11" t="s">
        <v>113</v>
      </c>
      <c r="I8" s="11" t="s">
        <v>69</v>
      </c>
      <c r="J8" s="11" t="s">
        <v>6</v>
      </c>
      <c r="K8" s="11" t="s">
        <v>7</v>
      </c>
      <c r="L8" s="11"/>
    </row>
    <row r="9" spans="1:12" x14ac:dyDescent="0.15">
      <c r="A9" t="s">
        <v>65</v>
      </c>
      <c r="B9" t="s">
        <v>114</v>
      </c>
      <c r="C9" t="s">
        <v>259</v>
      </c>
      <c r="D9">
        <v>4010</v>
      </c>
      <c r="E9" s="11" t="b">
        <v>1</v>
      </c>
      <c r="F9" s="11">
        <v>433</v>
      </c>
      <c r="G9" s="11">
        <v>243</v>
      </c>
      <c r="H9" s="11" t="s">
        <v>113</v>
      </c>
      <c r="I9" s="11" t="s">
        <v>69</v>
      </c>
      <c r="J9" s="11" t="s">
        <v>6</v>
      </c>
      <c r="K9" s="11" t="s">
        <v>7</v>
      </c>
      <c r="L9" s="11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114300</xdr:colOff>
                    <xdr:row>1</xdr:row>
                    <xdr:rowOff>9525</xdr:rowOff>
                  </from>
                  <to>
                    <xdr:col>2</xdr:col>
                    <xdr:colOff>1781175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17"/>
  <sheetViews>
    <sheetView workbookViewId="0">
      <selection activeCell="D12" sqref="D12:D17"/>
    </sheetView>
  </sheetViews>
  <sheetFormatPr defaultRowHeight="13.5" x14ac:dyDescent="0.15"/>
  <cols>
    <col min="2" max="2" width="20.125" bestFit="1" customWidth="1"/>
    <col min="3" max="3" width="27.25" bestFit="1" customWidth="1"/>
  </cols>
  <sheetData>
    <row r="1" spans="1:15" x14ac:dyDescent="0.15">
      <c r="A1" t="s">
        <v>145</v>
      </c>
    </row>
    <row r="2" spans="1:15" x14ac:dyDescent="0.15">
      <c r="A2" t="s">
        <v>60</v>
      </c>
    </row>
    <row r="3" spans="1:15" x14ac:dyDescent="0.15">
      <c r="A3" t="s">
        <v>61</v>
      </c>
      <c r="B3" t="s">
        <v>135</v>
      </c>
      <c r="C3" t="s">
        <v>260</v>
      </c>
      <c r="D3">
        <v>4000</v>
      </c>
      <c r="E3" s="12" t="b">
        <v>1</v>
      </c>
      <c r="F3" s="12" t="s">
        <v>58</v>
      </c>
      <c r="G3" s="12">
        <v>15</v>
      </c>
      <c r="H3" s="12">
        <v>15</v>
      </c>
      <c r="I3" s="12">
        <v>370</v>
      </c>
      <c r="J3" s="12">
        <v>275</v>
      </c>
      <c r="K3" s="12">
        <v>235</v>
      </c>
      <c r="L3" s="12">
        <v>32</v>
      </c>
    </row>
    <row r="4" spans="1:15" x14ac:dyDescent="0.15">
      <c r="A4" t="s">
        <v>94</v>
      </c>
      <c r="E4" s="12"/>
      <c r="F4" s="12"/>
      <c r="G4" s="12"/>
      <c r="H4" s="12"/>
      <c r="I4" s="12"/>
      <c r="J4" s="12"/>
      <c r="K4" s="12"/>
      <c r="L4" s="12"/>
    </row>
    <row r="5" spans="1:15" x14ac:dyDescent="0.15">
      <c r="A5" t="s">
        <v>65</v>
      </c>
      <c r="B5" t="s">
        <v>95</v>
      </c>
      <c r="C5" t="s">
        <v>261</v>
      </c>
      <c r="D5">
        <v>4010</v>
      </c>
      <c r="E5" s="12" t="b">
        <v>1</v>
      </c>
      <c r="F5" s="12">
        <v>383</v>
      </c>
      <c r="G5" s="12">
        <v>288</v>
      </c>
      <c r="H5" s="12" t="s">
        <v>134</v>
      </c>
      <c r="I5" s="12" t="s">
        <v>69</v>
      </c>
      <c r="J5" s="12" t="s">
        <v>6</v>
      </c>
      <c r="K5" s="12" t="s">
        <v>7</v>
      </c>
      <c r="L5" s="12"/>
      <c r="N5">
        <v>13</v>
      </c>
      <c r="O5">
        <v>13</v>
      </c>
    </row>
    <row r="6" spans="1:15" x14ac:dyDescent="0.15">
      <c r="A6" t="s">
        <v>65</v>
      </c>
      <c r="B6" t="s">
        <v>98</v>
      </c>
      <c r="C6" t="s">
        <v>262</v>
      </c>
      <c r="D6" s="12">
        <v>4010</v>
      </c>
      <c r="E6" s="12" t="b">
        <v>1</v>
      </c>
      <c r="F6" s="12">
        <v>463</v>
      </c>
      <c r="G6" s="12">
        <v>288</v>
      </c>
      <c r="H6" s="12" t="s">
        <v>133</v>
      </c>
      <c r="I6" s="12" t="s">
        <v>69</v>
      </c>
      <c r="J6" s="12" t="s">
        <v>6</v>
      </c>
      <c r="K6" s="12" t="s">
        <v>7</v>
      </c>
      <c r="L6" s="12"/>
      <c r="N6">
        <v>80</v>
      </c>
      <c r="O6">
        <v>20</v>
      </c>
    </row>
    <row r="7" spans="1:15" x14ac:dyDescent="0.15">
      <c r="A7" t="s">
        <v>65</v>
      </c>
      <c r="B7" t="s">
        <v>101</v>
      </c>
      <c r="C7" t="s">
        <v>263</v>
      </c>
      <c r="D7" s="12">
        <v>4010</v>
      </c>
      <c r="E7" s="12" t="b">
        <v>1</v>
      </c>
      <c r="F7" s="12">
        <v>543</v>
      </c>
      <c r="G7" s="12">
        <v>288</v>
      </c>
      <c r="H7" s="12" t="s">
        <v>132</v>
      </c>
      <c r="I7" s="12" t="s">
        <v>69</v>
      </c>
      <c r="J7" s="12" t="s">
        <v>6</v>
      </c>
      <c r="K7" s="12" t="s">
        <v>7</v>
      </c>
      <c r="L7" s="12"/>
      <c r="N7">
        <v>45</v>
      </c>
    </row>
    <row r="8" spans="1:15" x14ac:dyDescent="0.15">
      <c r="A8" t="s">
        <v>65</v>
      </c>
      <c r="B8" t="s">
        <v>104</v>
      </c>
      <c r="C8" t="s">
        <v>264</v>
      </c>
      <c r="D8" s="12">
        <v>4010</v>
      </c>
      <c r="E8" s="12" t="b">
        <v>1</v>
      </c>
      <c r="F8" s="12">
        <v>383</v>
      </c>
      <c r="G8" s="12">
        <v>308</v>
      </c>
      <c r="H8" s="12" t="s">
        <v>131</v>
      </c>
      <c r="I8" s="12" t="s">
        <v>69</v>
      </c>
      <c r="J8" s="12" t="s">
        <v>6</v>
      </c>
      <c r="K8" s="12" t="s">
        <v>7</v>
      </c>
      <c r="L8" s="12"/>
    </row>
    <row r="9" spans="1:15" x14ac:dyDescent="0.15">
      <c r="A9" t="s">
        <v>65</v>
      </c>
      <c r="B9" t="s">
        <v>107</v>
      </c>
      <c r="C9" t="s">
        <v>265</v>
      </c>
      <c r="D9" s="12">
        <v>4010</v>
      </c>
      <c r="E9" s="12" t="b">
        <v>1</v>
      </c>
      <c r="F9" s="12">
        <v>463</v>
      </c>
      <c r="G9" s="12">
        <v>308</v>
      </c>
      <c r="H9" s="12" t="s">
        <v>130</v>
      </c>
      <c r="I9" s="12" t="s">
        <v>69</v>
      </c>
      <c r="J9" s="12" t="s">
        <v>6</v>
      </c>
      <c r="K9" s="12" t="s">
        <v>7</v>
      </c>
      <c r="L9" s="12"/>
    </row>
    <row r="10" spans="1:15" x14ac:dyDescent="0.15">
      <c r="A10" t="s">
        <v>65</v>
      </c>
      <c r="B10" t="s">
        <v>110</v>
      </c>
      <c r="C10" t="s">
        <v>266</v>
      </c>
      <c r="D10" s="12">
        <v>4010</v>
      </c>
      <c r="E10" s="12" t="b">
        <v>1</v>
      </c>
      <c r="F10" s="12">
        <v>543</v>
      </c>
      <c r="G10" s="12">
        <v>308</v>
      </c>
      <c r="H10" s="12" t="s">
        <v>129</v>
      </c>
      <c r="I10" s="12" t="s">
        <v>69</v>
      </c>
      <c r="J10" s="12" t="s">
        <v>6</v>
      </c>
      <c r="K10" s="12" t="s">
        <v>7</v>
      </c>
      <c r="L10" s="12"/>
    </row>
    <row r="11" spans="1:15" x14ac:dyDescent="0.15">
      <c r="A11" t="s">
        <v>80</v>
      </c>
      <c r="E11" s="12"/>
      <c r="F11" s="12"/>
      <c r="G11" s="12"/>
      <c r="H11" s="12"/>
      <c r="I11" s="12"/>
      <c r="J11" s="12"/>
      <c r="K11" s="12"/>
      <c r="L11" s="12"/>
    </row>
    <row r="12" spans="1:15" x14ac:dyDescent="0.15">
      <c r="A12" t="s">
        <v>65</v>
      </c>
      <c r="B12" t="s">
        <v>81</v>
      </c>
      <c r="C12" t="s">
        <v>267</v>
      </c>
      <c r="D12" s="12">
        <v>4010</v>
      </c>
      <c r="E12" s="12" t="b">
        <v>1</v>
      </c>
      <c r="F12" s="12">
        <v>428</v>
      </c>
      <c r="G12" s="12">
        <v>288</v>
      </c>
      <c r="H12" s="12" t="s">
        <v>83</v>
      </c>
      <c r="I12" s="12" t="s">
        <v>69</v>
      </c>
      <c r="J12" s="12" t="s">
        <v>6</v>
      </c>
      <c r="K12" s="12" t="s">
        <v>7</v>
      </c>
      <c r="L12" s="12"/>
    </row>
    <row r="13" spans="1:15" x14ac:dyDescent="0.15">
      <c r="A13" t="s">
        <v>65</v>
      </c>
      <c r="B13" t="s">
        <v>84</v>
      </c>
      <c r="C13" t="s">
        <v>268</v>
      </c>
      <c r="D13" s="12">
        <v>4010</v>
      </c>
      <c r="E13" s="12" t="b">
        <v>1</v>
      </c>
      <c r="F13" s="12">
        <v>508</v>
      </c>
      <c r="G13" s="12">
        <v>288</v>
      </c>
      <c r="H13" s="12" t="s">
        <v>83</v>
      </c>
      <c r="I13" s="12" t="s">
        <v>69</v>
      </c>
      <c r="J13" s="12" t="s">
        <v>6</v>
      </c>
      <c r="K13" s="12" t="s">
        <v>7</v>
      </c>
      <c r="L13" s="12"/>
    </row>
    <row r="14" spans="1:15" x14ac:dyDescent="0.15">
      <c r="A14" t="s">
        <v>65</v>
      </c>
      <c r="B14" t="s">
        <v>86</v>
      </c>
      <c r="C14" t="s">
        <v>269</v>
      </c>
      <c r="D14" s="12">
        <v>4010</v>
      </c>
      <c r="E14" s="12" t="b">
        <v>1</v>
      </c>
      <c r="F14" s="12">
        <v>588</v>
      </c>
      <c r="G14" s="12">
        <v>288</v>
      </c>
      <c r="H14" s="12" t="s">
        <v>83</v>
      </c>
      <c r="I14" s="12" t="s">
        <v>69</v>
      </c>
      <c r="J14" s="12" t="s">
        <v>6</v>
      </c>
      <c r="K14" s="12" t="s">
        <v>7</v>
      </c>
      <c r="L14" s="12"/>
    </row>
    <row r="15" spans="1:15" x14ac:dyDescent="0.15">
      <c r="A15" t="s">
        <v>65</v>
      </c>
      <c r="B15" t="s">
        <v>88</v>
      </c>
      <c r="C15" t="s">
        <v>270</v>
      </c>
      <c r="D15" s="12">
        <v>4010</v>
      </c>
      <c r="E15" s="12" t="b">
        <v>1</v>
      </c>
      <c r="F15" s="12">
        <v>428</v>
      </c>
      <c r="G15" s="12">
        <v>308</v>
      </c>
      <c r="H15" s="12" t="s">
        <v>83</v>
      </c>
      <c r="I15" s="12" t="s">
        <v>69</v>
      </c>
      <c r="J15" s="12" t="s">
        <v>6</v>
      </c>
      <c r="K15" s="12" t="s">
        <v>7</v>
      </c>
      <c r="L15" s="12"/>
    </row>
    <row r="16" spans="1:15" x14ac:dyDescent="0.15">
      <c r="A16" t="s">
        <v>65</v>
      </c>
      <c r="B16" t="s">
        <v>90</v>
      </c>
      <c r="C16" t="s">
        <v>271</v>
      </c>
      <c r="D16" s="12">
        <v>4010</v>
      </c>
      <c r="E16" s="12" t="b">
        <v>1</v>
      </c>
      <c r="F16" s="12">
        <v>508</v>
      </c>
      <c r="G16" s="12">
        <v>308</v>
      </c>
      <c r="H16" s="12" t="s">
        <v>83</v>
      </c>
      <c r="I16" s="12" t="s">
        <v>69</v>
      </c>
      <c r="J16" s="12" t="s">
        <v>6</v>
      </c>
      <c r="K16" s="12" t="s">
        <v>7</v>
      </c>
      <c r="L16" s="12"/>
    </row>
    <row r="17" spans="1:11" x14ac:dyDescent="0.15">
      <c r="A17" t="s">
        <v>65</v>
      </c>
      <c r="B17" t="s">
        <v>92</v>
      </c>
      <c r="C17" t="s">
        <v>272</v>
      </c>
      <c r="D17" s="12">
        <v>4010</v>
      </c>
      <c r="E17" s="12" t="b">
        <v>1</v>
      </c>
      <c r="F17" s="12">
        <v>588</v>
      </c>
      <c r="G17" s="12">
        <v>308</v>
      </c>
      <c r="H17" s="12" t="s">
        <v>83</v>
      </c>
      <c r="I17" s="12" t="s">
        <v>69</v>
      </c>
      <c r="J17" s="12" t="s">
        <v>6</v>
      </c>
      <c r="K17" s="12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outputCSV">
                <anchor moveWithCells="1" sizeWithCells="1">
                  <from>
                    <xdr:col>0</xdr:col>
                    <xdr:colOff>104775</xdr:colOff>
                    <xdr:row>18</xdr:row>
                    <xdr:rowOff>85725</xdr:rowOff>
                  </from>
                  <to>
                    <xdr:col>1</xdr:col>
                    <xdr:colOff>200025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CommonClock</vt:lpstr>
      <vt:lpstr>CommonWindow</vt:lpstr>
      <vt:lpstr>DungionCharacterStatus</vt:lpstr>
      <vt:lpstr>dungionStatus</vt:lpstr>
      <vt:lpstr>DungionCharacterWepon</vt:lpstr>
      <vt:lpstr>dungionItem</vt:lpstr>
      <vt:lpstr>dungionMain</vt:lpstr>
      <vt:lpstr>dungionResult</vt:lpstr>
      <vt:lpstr>PartyView</vt:lpstr>
      <vt:lpstr>DungionResultItemText</vt:lpstr>
      <vt:lpstr>DungionResultItemAbility</vt:lpstr>
      <vt:lpstr>DungionResultWeponStatus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2014-10-21T12:08:09Z</dcterms:modified>
</cp:coreProperties>
</file>