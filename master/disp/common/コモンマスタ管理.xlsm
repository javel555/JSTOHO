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105" windowWidth="28035" windowHeight="12540"/>
  </bookViews>
  <sheets>
    <sheet name="SkillAbility" sheetId="8" r:id="rId1"/>
    <sheet name="TinyStatus" sheetId="9" r:id="rId2"/>
  </sheets>
  <calcPr calcId="125725"/>
</workbook>
</file>

<file path=xl/calcChain.xml><?xml version="1.0" encoding="utf-8"?>
<calcChain xmlns="http://schemas.openxmlformats.org/spreadsheetml/2006/main">
  <c r="O7" i="8"/>
  <c r="P7"/>
  <c r="I16"/>
  <c r="I14"/>
  <c r="I15"/>
  <c r="I13"/>
  <c r="I32" s="1"/>
  <c r="F38" s="1"/>
  <c r="M39"/>
  <c r="M40" s="1"/>
  <c r="M41" s="1"/>
  <c r="N33"/>
  <c r="N34" s="1"/>
  <c r="N35" s="1"/>
  <c r="M33"/>
  <c r="M34" s="1"/>
  <c r="M35" s="1"/>
  <c r="M27"/>
  <c r="M28" s="1"/>
  <c r="M29" s="1"/>
  <c r="N21"/>
  <c r="N22" s="1"/>
  <c r="M21"/>
  <c r="M22" s="1"/>
  <c r="M23" s="1"/>
  <c r="J14"/>
  <c r="J15"/>
  <c r="J16"/>
  <c r="J35" s="1"/>
  <c r="G41" s="1"/>
  <c r="J13"/>
  <c r="J20" s="1"/>
  <c r="G26" s="1"/>
  <c r="F51"/>
  <c r="F52" s="1"/>
  <c r="G51"/>
  <c r="G52" s="1"/>
  <c r="G50"/>
  <c r="F50"/>
  <c r="I20" l="1"/>
  <c r="F26" s="1"/>
  <c r="J34"/>
  <c r="G40" s="1"/>
  <c r="J33"/>
  <c r="G39" s="1"/>
  <c r="J32"/>
  <c r="G38" s="1"/>
  <c r="I33"/>
  <c r="F39" s="1"/>
  <c r="I22"/>
  <c r="F28" s="1"/>
  <c r="I23"/>
  <c r="F29" s="1"/>
  <c r="I35"/>
  <c r="F41" s="1"/>
  <c r="I21"/>
  <c r="F27" s="1"/>
  <c r="I34"/>
  <c r="F40" s="1"/>
  <c r="J22"/>
  <c r="G28" s="1"/>
  <c r="J21"/>
  <c r="G27" s="1"/>
  <c r="N23"/>
  <c r="J23" s="1"/>
  <c r="G29" s="1"/>
</calcChain>
</file>

<file path=xl/sharedStrings.xml><?xml version="1.0" encoding="utf-8"?>
<sst xmlns="http://schemas.openxmlformats.org/spreadsheetml/2006/main" count="534" uniqueCount="223">
  <si>
    <t>testFont</t>
  </si>
  <si>
    <t>textFront</t>
  </si>
  <si>
    <t>textShadow</t>
  </si>
  <si>
    <t>JSGAMECLGCommonImage</t>
  </si>
  <si>
    <t>顔グラ</t>
  </si>
  <si>
    <t>#JSGAMECLGCommonImage</t>
  </si>
  <si>
    <t>UID</t>
  </si>
  <si>
    <t>描画順序</t>
  </si>
  <si>
    <t>表示/非表示</t>
  </si>
  <si>
    <t>画像パス</t>
  </si>
  <si>
    <t>画像サイズX</t>
  </si>
  <si>
    <t>画像サイズY</t>
  </si>
  <si>
    <t>表示座標X</t>
  </si>
  <si>
    <t>表示座標Y</t>
  </si>
  <si>
    <t>#JSGAMECLGCommonMenuElement</t>
  </si>
  <si>
    <t>表示文言</t>
  </si>
  <si>
    <t>文言のマージンX座標</t>
  </si>
  <si>
    <t>文言のマージンY座標</t>
  </si>
  <si>
    <t>JSGAMECLGCommonMenuElement</t>
  </si>
  <si>
    <t>上</t>
  </si>
  <si>
    <t xml:space="preserve"> </t>
  </si>
  <si>
    <t>#JSGAMECLGCommonAnimation</t>
  </si>
  <si>
    <t>単純なアニメ</t>
  </si>
  <si>
    <t>画像横個数</t>
  </si>
  <si>
    <t>画像縦個数</t>
  </si>
  <si>
    <t>フレームレート</t>
  </si>
  <si>
    <t>ループ有無</t>
  </si>
  <si>
    <t>JSGAMECLGCommonAnimation</t>
  </si>
  <si>
    <t>keine-slot-chara1</t>
  </si>
  <si>
    <t>keine-slot-chara2</t>
  </si>
  <si>
    <t>keine-slot-chara3</t>
  </si>
  <si>
    <t>keine-slot-chara4</t>
  </si>
  <si>
    <t>表示サイズX</t>
  </si>
  <si>
    <t>表示サイズY</t>
  </si>
  <si>
    <t>./data/img/common/window15x15.png</t>
  </si>
  <si>
    <t>JSGAMECLGCommonWindow</t>
  </si>
  <si>
    <t>JSGAMECLGCommonText</t>
  </si>
  <si>
    <t>middle</t>
  </si>
  <si>
    <t>dummy</t>
  </si>
  <si>
    <t>サンプルテキスト</t>
  </si>
  <si>
    <t>特性説明</t>
  </si>
  <si>
    <t>./data/img/common/window9x9.png</t>
  </si>
  <si>
    <t>SYS-Ability-Status-Ability-Notice</t>
  </si>
  <si>
    <t>SYS-Ability-Status-Ability-Name</t>
  </si>
  <si>
    <t>特性名</t>
  </si>
  <si>
    <t>SYS-Ability-Status-Skill-Notice</t>
  </si>
  <si>
    <t>技説明</t>
  </si>
  <si>
    <t>#文章説明</t>
  </si>
  <si>
    <t>SYS-Ability-Status-Ability-Window</t>
  </si>
  <si>
    <t>特性説明背景</t>
  </si>
  <si>
    <t>SYS-Ability-Status-Skill-Window</t>
  </si>
  <si>
    <t>技説明背景</t>
  </si>
  <si>
    <t>#説明欄背景</t>
  </si>
  <si>
    <t>SYS-Ability-Select-MP3</t>
  </si>
  <si>
    <t>技消費MP　左</t>
  </si>
  <si>
    <t>SYS-Ability-Select-MP2</t>
  </si>
  <si>
    <t>技消費MP　下</t>
  </si>
  <si>
    <t>SYS-Ability-Select-MP1</t>
  </si>
  <si>
    <t>技消費MP　右</t>
  </si>
  <si>
    <t>SYS-Ability-Select-MP0</t>
  </si>
  <si>
    <t>技消費MP　上</t>
  </si>
  <si>
    <t>#技消費MP</t>
  </si>
  <si>
    <t>./data/img/test/mp.bmp</t>
  </si>
  <si>
    <t>SYS-Ability-Select-MP-Icon3</t>
  </si>
  <si>
    <t>消費MPアイコン　左</t>
  </si>
  <si>
    <t>SYS-Ability-Select-MP-Icon2</t>
  </si>
  <si>
    <t>消費MPアイコン　下</t>
  </si>
  <si>
    <t>SYS-Ability-Select-MP-Icon1</t>
  </si>
  <si>
    <t>消費MPアイコン　右</t>
  </si>
  <si>
    <t>SYS-Ability-Select-MP-Icon0</t>
  </si>
  <si>
    <t>消費MPアイコン　上</t>
  </si>
  <si>
    <t>#技消費MPアイコン</t>
  </si>
  <si>
    <t>SYS-Ability-Select-HP3</t>
  </si>
  <si>
    <t>技消費HP　左</t>
  </si>
  <si>
    <t>SYS-Ability-Select-HP2</t>
  </si>
  <si>
    <t>技消費HP　下</t>
  </si>
  <si>
    <t>SYS-Ability-Select-HP1</t>
  </si>
  <si>
    <t>技消費HP　右</t>
  </si>
  <si>
    <t>SYS-Ability-Select-HP0</t>
  </si>
  <si>
    <t>技消費HP　上</t>
  </si>
  <si>
    <t>#技消費HP</t>
  </si>
  <si>
    <t>./data/img/test/hp.bmp</t>
  </si>
  <si>
    <t>SYS-Ability-Select-HP-Icon3</t>
  </si>
  <si>
    <t>消費HPアイコン　左</t>
  </si>
  <si>
    <t>SYS-Ability-Select-HP-Icon2</t>
  </si>
  <si>
    <t>消費HPアイコン　下</t>
  </si>
  <si>
    <t>SYS-Ability-Select-HP-Icon1</t>
  </si>
  <si>
    <t>消費HPアイコン　右</t>
  </si>
  <si>
    <t>SYS-Ability-Select-HP-Icon0</t>
  </si>
  <si>
    <t>消費HPアイコン　上</t>
  </si>
  <si>
    <t>単純な画像表示部品</t>
  </si>
  <si>
    <t>#技消費HPアイコン</t>
  </si>
  <si>
    <t>SYS-AbilitySelector3</t>
  </si>
  <si>
    <t>技名選択肢　左</t>
  </si>
  <si>
    <t>SYS-AbilitySelector2</t>
  </si>
  <si>
    <t>技名選択肢　下</t>
  </si>
  <si>
    <t>SYS-AbilitySelector1</t>
  </si>
  <si>
    <t>技名選択肢　右</t>
  </si>
  <si>
    <t>SYS-AbilitySelector0</t>
  </si>
  <si>
    <t>技名選択肢　上</t>
  </si>
  <si>
    <t>影色ID</t>
  </si>
  <si>
    <t>文字色ID</t>
  </si>
  <si>
    <t>フォントID</t>
  </si>
  <si>
    <t>汎用メニュー選択肢</t>
  </si>
  <si>
    <t>#技名選択肢</t>
  </si>
  <si>
    <t>SYS-AbilitySelector-Window</t>
  </si>
  <si>
    <t>#技名欄背景</t>
  </si>
  <si>
    <t>./data/img/character/orin.png</t>
  </si>
  <si>
    <t>SYS-Ability-Status-Character-Image</t>
  </si>
  <si>
    <t>キャラ画像</t>
  </si>
  <si>
    <t>#キャラ画像</t>
  </si>
  <si>
    <t>#一種の部品として作成する。動作制御は各シーン側で制御すること</t>
  </si>
  <si>
    <t>#特性確認画面</t>
  </si>
  <si>
    <t>./data/img/character/okuu_soro.png</t>
  </si>
  <si>
    <t>SYS_Tiny-CharaAnim3</t>
  </si>
  <si>
    <t>SYS_Tiny-CharaAnim2</t>
  </si>
  <si>
    <t>SYS_Tiny-CharaAnim1</t>
  </si>
  <si>
    <t>SYS_Tiny-CharaAnim0</t>
  </si>
  <si>
    <t>small</t>
  </si>
  <si>
    <t>SYS_Tiny-MPText3</t>
  </si>
  <si>
    <t>MP数字3</t>
  </si>
  <si>
    <t>SYS_Tiny-MPText2</t>
  </si>
  <si>
    <t>MP数字2</t>
  </si>
  <si>
    <t>SYS_Tiny-MPText1</t>
  </si>
  <si>
    <t>MP数字1</t>
  </si>
  <si>
    <t>SYS_Tiny-MPText0</t>
  </si>
  <si>
    <t>MP数字0</t>
  </si>
  <si>
    <t>#MP数字</t>
  </si>
  <si>
    <t>SYS_Tiny-HPText3</t>
  </si>
  <si>
    <t>HP数字3</t>
  </si>
  <si>
    <t>SYS_Tiny-HPText2</t>
  </si>
  <si>
    <t>HP数字2</t>
  </si>
  <si>
    <t>SYS_Tiny-HPText1</t>
  </si>
  <si>
    <t>HP数字1</t>
  </si>
  <si>
    <t>SYS_Tiny-HPText0</t>
  </si>
  <si>
    <t>HP数字0</t>
  </si>
  <si>
    <t>#HP数字</t>
  </si>
  <si>
    <t>SYS_Tiny-NameText3</t>
  </si>
  <si>
    <t>キャラ名3</t>
  </si>
  <si>
    <t>キャラ名2</t>
  </si>
  <si>
    <t>SYS_Tiny-NameText1</t>
  </si>
  <si>
    <t>キャラ名1</t>
  </si>
  <si>
    <t>SYS_Tiny-NameText0</t>
  </si>
  <si>
    <t>キャラ名0</t>
  </si>
  <si>
    <t>#キャラ名</t>
  </si>
  <si>
    <t>./data/img/common/mp-gauge.png</t>
  </si>
  <si>
    <t>SYS_Tiny-MPGauge3</t>
  </si>
  <si>
    <t>MPゲージ3</t>
  </si>
  <si>
    <t>JSGAMECLGGauge</t>
  </si>
  <si>
    <t>SYS_Tiny-MPGauge2</t>
  </si>
  <si>
    <t>MPゲージ2</t>
  </si>
  <si>
    <t>SYS_Tiny-MPGauge1</t>
  </si>
  <si>
    <t>MPゲージ1</t>
  </si>
  <si>
    <t>SYS_Tiny-MPGauge0</t>
  </si>
  <si>
    <t>MPゲージ0</t>
  </si>
  <si>
    <t>#MPゲージ</t>
  </si>
  <si>
    <t>./data/img/common/hp-gauge.png</t>
  </si>
  <si>
    <t>SYS_Tiny-HPGauge3</t>
  </si>
  <si>
    <t>HPゲージ3</t>
  </si>
  <si>
    <t>SYS_Tiny-HPGauge2</t>
  </si>
  <si>
    <t>HPゲージ2</t>
  </si>
  <si>
    <t>SYS_Tiny-HPGauge1</t>
  </si>
  <si>
    <t>HPゲージ1</t>
  </si>
  <si>
    <t>SYS_Tiny-HPGauge0</t>
  </si>
  <si>
    <t>HPゲージ0</t>
  </si>
  <si>
    <t>#HPゲージ</t>
  </si>
  <si>
    <t>./data/img/common/hp-frame.png</t>
  </si>
  <si>
    <t>SYS_Tiny-PositionIcon3</t>
  </si>
  <si>
    <t>ポジションアイコン3</t>
  </si>
  <si>
    <t>SYS_Tiny-PositionIcon2</t>
  </si>
  <si>
    <t>ポジションアイコン2</t>
  </si>
  <si>
    <t>SYS_Tiny-PositionIcon1</t>
  </si>
  <si>
    <t>ポジションアイコン1</t>
  </si>
  <si>
    <t>SYS_Tiny-PositionIcon0</t>
  </si>
  <si>
    <t>ポジションアイコン0</t>
  </si>
  <si>
    <t>#ポジションアイコン</t>
  </si>
  <si>
    <t>SYS_Tiny-PositionBackGround</t>
  </si>
  <si>
    <t>ポジション背景</t>
  </si>
  <si>
    <t>#ポジション背景</t>
  </si>
  <si>
    <t>SYS_Tiny-MPGaugeFrame3</t>
  </si>
  <si>
    <t>MPゲージフレーム3</t>
  </si>
  <si>
    <t>SYS_Tiny-MPGaugeFrame2</t>
  </si>
  <si>
    <t>MPゲージフレーム2</t>
  </si>
  <si>
    <t>SYS_Tiny-MPGaugeFrame1</t>
  </si>
  <si>
    <t>MPゲージフレーム1</t>
  </si>
  <si>
    <t>SYS_Tiny-MPGaugeFrame0</t>
  </si>
  <si>
    <t>MPゲージフレーム0</t>
  </si>
  <si>
    <t>#MPゲージフレーム</t>
  </si>
  <si>
    <t>SYS_Tiny-HPGaugeFrame3</t>
  </si>
  <si>
    <t>HPゲージフレーム3</t>
  </si>
  <si>
    <t>SYS_Tiny-HPGaugeFrame2</t>
  </si>
  <si>
    <t>HPゲージフレーム2</t>
  </si>
  <si>
    <t>SYS_Tiny-HPGaugeFrame1</t>
  </si>
  <si>
    <t>HPゲージフレーム1</t>
  </si>
  <si>
    <t>SYS_Tiny-HPGaugeFrame0</t>
  </si>
  <si>
    <t>HPゲージフレーム0</t>
  </si>
  <si>
    <t>#HPゲージフレーム</t>
  </si>
  <si>
    <t>./data/img/common/TinyStatus.png</t>
  </si>
  <si>
    <t>SYS_Tiny-StatusBackGround3</t>
  </si>
  <si>
    <t>ステータス背景3</t>
  </si>
  <si>
    <t>SYS_Tiny-StatusBackGround2</t>
  </si>
  <si>
    <t>ステータス背景2</t>
  </si>
  <si>
    <t>SYS_Tiny-StatusBackGround1</t>
  </si>
  <si>
    <t>ステータス背景1</t>
  </si>
  <si>
    <t>SYS_Tiny-StatusBackGround0</t>
  </si>
  <si>
    <t>ステータス背景0</t>
  </si>
  <si>
    <t>#上</t>
  </si>
  <si>
    <t>#ステータス背景</t>
  </si>
  <si>
    <t>#左マージン</t>
  </si>
  <si>
    <t>#余白</t>
  </si>
  <si>
    <t>#簡易ステータス</t>
  </si>
  <si>
    <t>SYS_Tiny-NameText2</t>
    <phoneticPr fontId="18"/>
  </si>
  <si>
    <t>ウィンドウ</t>
  </si>
  <si>
    <t>影付き背景なしテキスト</t>
  </si>
  <si>
    <t>デフォルトテキスト</t>
  </si>
  <si>
    <t>テキスト色ID</t>
  </si>
  <si>
    <t>./data/img/common/menu_elem2_m.png</t>
    <phoneticPr fontId="18"/>
  </si>
  <si>
    <t>#キャラ背景</t>
    <rPh sb="4" eb="6">
      <t>ハイケイ</t>
    </rPh>
    <phoneticPr fontId="18"/>
  </si>
  <si>
    <t>SYS-AbilitySelector-Character-Window</t>
    <phoneticPr fontId="18"/>
  </si>
  <si>
    <t>./data/img/common/window20x20.png</t>
    <phoneticPr fontId="18"/>
  </si>
  <si>
    <t>キャラクタ背景</t>
    <rPh sb="5" eb="7">
      <t>ハイケイ</t>
    </rPh>
    <phoneticPr fontId="18"/>
  </si>
  <si>
    <t>画像総数</t>
    <rPh sb="0" eb="2">
      <t>ガゾウ</t>
    </rPh>
    <rPh sb="2" eb="4">
      <t>ソウスウ</t>
    </rPh>
    <phoneticPr fontId="18"/>
  </si>
  <si>
    <t>終了時自滅</t>
    <rPh sb="0" eb="2">
      <t>シュウリョウ</t>
    </rPh>
    <rPh sb="2" eb="3">
      <t>ジ</t>
    </rPh>
    <rPh sb="3" eb="5">
      <t>ジメツ</t>
    </rPh>
    <phoneticPr fontId="18"/>
  </si>
</sst>
</file>

<file path=xl/styles.xml><?xml version="1.0" encoding="utf-8"?>
<styleSheet xmlns="http://schemas.openxmlformats.org/spreadsheetml/2006/main">
  <fonts count="2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Arial"/>
      <family val="2"/>
    </font>
    <font>
      <sz val="11"/>
      <color rgb="FF000000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9" fillId="0" borderId="0" xfId="0" applyFon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52"/>
  <sheetViews>
    <sheetView tabSelected="1" topLeftCell="B1" workbookViewId="0">
      <selection activeCell="Q17" sqref="Q17"/>
    </sheetView>
  </sheetViews>
  <sheetFormatPr defaultRowHeight="13.5"/>
  <cols>
    <col min="1" max="1" width="26.875" customWidth="1"/>
    <col min="2" max="2" width="21.25" customWidth="1"/>
  </cols>
  <sheetData>
    <row r="1" spans="1:19">
      <c r="A1" t="s">
        <v>112</v>
      </c>
    </row>
    <row r="2" spans="1:19">
      <c r="A2" t="s">
        <v>111</v>
      </c>
    </row>
    <row r="4" spans="1:19">
      <c r="A4" t="s">
        <v>217</v>
      </c>
      <c r="B4" s="1" t="s">
        <v>212</v>
      </c>
      <c r="C4" t="s">
        <v>6</v>
      </c>
      <c r="D4" t="s">
        <v>7</v>
      </c>
      <c r="E4" t="s">
        <v>8</v>
      </c>
      <c r="F4" t="s">
        <v>9</v>
      </c>
      <c r="G4" t="s">
        <v>10</v>
      </c>
      <c r="H4" t="s">
        <v>11</v>
      </c>
      <c r="I4" t="s">
        <v>12</v>
      </c>
      <c r="J4" t="s">
        <v>13</v>
      </c>
      <c r="K4" t="s">
        <v>32</v>
      </c>
      <c r="L4" t="s">
        <v>33</v>
      </c>
    </row>
    <row r="5" spans="1:19">
      <c r="A5" t="s">
        <v>35</v>
      </c>
      <c r="B5" t="s">
        <v>220</v>
      </c>
      <c r="C5" t="s">
        <v>218</v>
      </c>
      <c r="D5">
        <v>8100</v>
      </c>
      <c r="E5" t="b">
        <v>1</v>
      </c>
      <c r="F5" t="s">
        <v>219</v>
      </c>
      <c r="G5">
        <v>20</v>
      </c>
      <c r="H5">
        <v>20</v>
      </c>
      <c r="I5">
        <v>23</v>
      </c>
      <c r="J5">
        <v>23</v>
      </c>
      <c r="K5">
        <v>90</v>
      </c>
      <c r="L5">
        <v>90</v>
      </c>
    </row>
    <row r="6" spans="1:19">
      <c r="A6" t="s">
        <v>110</v>
      </c>
      <c r="B6" t="s">
        <v>22</v>
      </c>
      <c r="C6" t="s">
        <v>6</v>
      </c>
      <c r="D6" t="s">
        <v>7</v>
      </c>
      <c r="E6" t="s">
        <v>8</v>
      </c>
      <c r="F6" t="s">
        <v>9</v>
      </c>
      <c r="G6" t="s">
        <v>10</v>
      </c>
      <c r="H6" t="s">
        <v>11</v>
      </c>
      <c r="I6" t="s">
        <v>23</v>
      </c>
      <c r="J6" t="s">
        <v>24</v>
      </c>
      <c r="K6" t="s">
        <v>221</v>
      </c>
      <c r="L6" t="s">
        <v>25</v>
      </c>
      <c r="M6" t="s">
        <v>26</v>
      </c>
      <c r="N6" t="s">
        <v>222</v>
      </c>
      <c r="O6" t="s">
        <v>12</v>
      </c>
      <c r="P6" t="s">
        <v>13</v>
      </c>
    </row>
    <row r="7" spans="1:19">
      <c r="A7" t="s">
        <v>27</v>
      </c>
      <c r="B7" t="s">
        <v>109</v>
      </c>
      <c r="C7" t="s">
        <v>108</v>
      </c>
      <c r="D7">
        <v>8300</v>
      </c>
      <c r="E7" t="b">
        <v>1</v>
      </c>
      <c r="F7" t="s">
        <v>107</v>
      </c>
      <c r="G7">
        <v>64</v>
      </c>
      <c r="H7">
        <v>64</v>
      </c>
      <c r="I7">
        <v>1</v>
      </c>
      <c r="J7">
        <v>1</v>
      </c>
      <c r="K7">
        <v>1</v>
      </c>
      <c r="L7">
        <v>5</v>
      </c>
      <c r="M7" t="b">
        <v>1</v>
      </c>
      <c r="N7" t="b">
        <v>0</v>
      </c>
      <c r="O7">
        <f>I5+Q7</f>
        <v>51</v>
      </c>
      <c r="P7">
        <f>J5+R7</f>
        <v>63</v>
      </c>
      <c r="Q7">
        <v>28</v>
      </c>
      <c r="R7">
        <v>40</v>
      </c>
    </row>
    <row r="9" spans="1:19">
      <c r="A9" t="s">
        <v>106</v>
      </c>
      <c r="B9" s="1" t="s">
        <v>212</v>
      </c>
      <c r="C9" t="s">
        <v>6</v>
      </c>
      <c r="D9" t="s">
        <v>7</v>
      </c>
      <c r="E9" t="s">
        <v>8</v>
      </c>
      <c r="F9" t="s">
        <v>9</v>
      </c>
      <c r="G9" t="s">
        <v>10</v>
      </c>
      <c r="H9" t="s">
        <v>11</v>
      </c>
      <c r="I9" t="s">
        <v>12</v>
      </c>
      <c r="J9" t="s">
        <v>13</v>
      </c>
      <c r="K9" t="s">
        <v>32</v>
      </c>
      <c r="L9" t="s">
        <v>33</v>
      </c>
    </row>
    <row r="10" spans="1:19">
      <c r="A10" t="s">
        <v>35</v>
      </c>
      <c r="B10" t="s">
        <v>51</v>
      </c>
      <c r="C10" t="s">
        <v>105</v>
      </c>
      <c r="D10">
        <v>8100</v>
      </c>
      <c r="E10" t="b">
        <v>1</v>
      </c>
      <c r="F10" t="s">
        <v>34</v>
      </c>
      <c r="G10">
        <v>15</v>
      </c>
      <c r="H10">
        <v>15</v>
      </c>
      <c r="I10">
        <v>160</v>
      </c>
      <c r="J10">
        <v>15</v>
      </c>
      <c r="K10">
        <v>440</v>
      </c>
      <c r="L10">
        <v>110</v>
      </c>
    </row>
    <row r="11" spans="1:19">
      <c r="A11" t="s">
        <v>104</v>
      </c>
    </row>
    <row r="12" spans="1:19">
      <c r="A12" t="s">
        <v>14</v>
      </c>
      <c r="B12" t="s">
        <v>103</v>
      </c>
      <c r="C12" t="s">
        <v>6</v>
      </c>
      <c r="D12" t="s">
        <v>7</v>
      </c>
      <c r="E12" t="s">
        <v>8</v>
      </c>
      <c r="F12" t="s">
        <v>9</v>
      </c>
      <c r="G12" t="s">
        <v>10</v>
      </c>
      <c r="H12" t="s">
        <v>11</v>
      </c>
      <c r="I12" t="s">
        <v>12</v>
      </c>
      <c r="J12" t="s">
        <v>13</v>
      </c>
      <c r="K12" t="s">
        <v>15</v>
      </c>
      <c r="L12" t="s">
        <v>16</v>
      </c>
      <c r="M12" t="s">
        <v>17</v>
      </c>
      <c r="N12" t="s">
        <v>102</v>
      </c>
      <c r="O12" t="s">
        <v>101</v>
      </c>
      <c r="P12" t="s">
        <v>100</v>
      </c>
    </row>
    <row r="13" spans="1:19">
      <c r="A13" t="s">
        <v>18</v>
      </c>
      <c r="B13" t="s">
        <v>99</v>
      </c>
      <c r="C13" t="s">
        <v>98</v>
      </c>
      <c r="D13">
        <v>8200</v>
      </c>
      <c r="E13" t="b">
        <v>1</v>
      </c>
      <c r="F13" t="s">
        <v>216</v>
      </c>
      <c r="G13">
        <v>150</v>
      </c>
      <c r="H13">
        <v>50</v>
      </c>
      <c r="I13">
        <f>I$10+R13</f>
        <v>322</v>
      </c>
      <c r="J13">
        <f>$J$10+S13</f>
        <v>28</v>
      </c>
      <c r="K13" t="s">
        <v>20</v>
      </c>
      <c r="L13">
        <v>15</v>
      </c>
      <c r="M13">
        <v>7</v>
      </c>
      <c r="N13" t="s">
        <v>0</v>
      </c>
      <c r="O13" t="s">
        <v>1</v>
      </c>
      <c r="P13" t="s">
        <v>2</v>
      </c>
      <c r="R13">
        <v>162</v>
      </c>
      <c r="S13">
        <v>13</v>
      </c>
    </row>
    <row r="14" spans="1:19">
      <c r="A14" t="s">
        <v>18</v>
      </c>
      <c r="B14" t="s">
        <v>97</v>
      </c>
      <c r="C14" t="s">
        <v>96</v>
      </c>
      <c r="D14">
        <v>8200</v>
      </c>
      <c r="E14" t="b">
        <v>1</v>
      </c>
      <c r="F14" t="s">
        <v>216</v>
      </c>
      <c r="G14">
        <v>150</v>
      </c>
      <c r="H14">
        <v>50</v>
      </c>
      <c r="I14">
        <f t="shared" ref="I14:I16" si="0">I$10+R14</f>
        <v>472</v>
      </c>
      <c r="J14">
        <f t="shared" ref="J14:J16" si="1">$J$10+S14</f>
        <v>53</v>
      </c>
      <c r="K14" t="s">
        <v>20</v>
      </c>
      <c r="L14">
        <v>15</v>
      </c>
      <c r="M14">
        <v>7</v>
      </c>
      <c r="N14" t="s">
        <v>0</v>
      </c>
      <c r="O14" t="s">
        <v>1</v>
      </c>
      <c r="P14" t="s">
        <v>2</v>
      </c>
      <c r="R14">
        <v>312</v>
      </c>
      <c r="S14">
        <v>38</v>
      </c>
    </row>
    <row r="15" spans="1:19">
      <c r="A15" t="s">
        <v>18</v>
      </c>
      <c r="B15" t="s">
        <v>95</v>
      </c>
      <c r="C15" t="s">
        <v>94</v>
      </c>
      <c r="D15">
        <v>8200</v>
      </c>
      <c r="E15" t="b">
        <v>1</v>
      </c>
      <c r="F15" t="s">
        <v>216</v>
      </c>
      <c r="G15">
        <v>150</v>
      </c>
      <c r="H15">
        <v>50</v>
      </c>
      <c r="I15">
        <f t="shared" si="0"/>
        <v>322</v>
      </c>
      <c r="J15">
        <f t="shared" si="1"/>
        <v>88</v>
      </c>
      <c r="K15" t="s">
        <v>20</v>
      </c>
      <c r="L15">
        <v>15</v>
      </c>
      <c r="M15">
        <v>7</v>
      </c>
      <c r="N15" t="s">
        <v>0</v>
      </c>
      <c r="O15" t="s">
        <v>1</v>
      </c>
      <c r="P15" t="s">
        <v>2</v>
      </c>
      <c r="R15">
        <v>162</v>
      </c>
      <c r="S15">
        <v>73</v>
      </c>
    </row>
    <row r="16" spans="1:19">
      <c r="A16" t="s">
        <v>18</v>
      </c>
      <c r="B16" t="s">
        <v>93</v>
      </c>
      <c r="C16" t="s">
        <v>92</v>
      </c>
      <c r="D16">
        <v>8200</v>
      </c>
      <c r="E16" t="b">
        <v>1</v>
      </c>
      <c r="F16" t="s">
        <v>216</v>
      </c>
      <c r="G16">
        <v>150</v>
      </c>
      <c r="H16">
        <v>50</v>
      </c>
      <c r="I16">
        <f t="shared" si="0"/>
        <v>172</v>
      </c>
      <c r="J16">
        <f t="shared" si="1"/>
        <v>53</v>
      </c>
      <c r="K16" t="s">
        <v>20</v>
      </c>
      <c r="L16">
        <v>15</v>
      </c>
      <c r="M16">
        <v>7</v>
      </c>
      <c r="N16" t="s">
        <v>0</v>
      </c>
      <c r="O16" t="s">
        <v>1</v>
      </c>
      <c r="P16" t="s">
        <v>2</v>
      </c>
      <c r="R16">
        <v>12</v>
      </c>
      <c r="S16">
        <v>38</v>
      </c>
    </row>
    <row r="18" spans="1:14">
      <c r="A18" t="s">
        <v>91</v>
      </c>
    </row>
    <row r="19" spans="1:14">
      <c r="A19" t="s">
        <v>5</v>
      </c>
      <c r="B19" t="s">
        <v>90</v>
      </c>
      <c r="C19" t="s">
        <v>6</v>
      </c>
      <c r="D19" t="s">
        <v>7</v>
      </c>
      <c r="E19" t="s">
        <v>8</v>
      </c>
      <c r="F19" t="s">
        <v>9</v>
      </c>
      <c r="G19" t="s">
        <v>10</v>
      </c>
      <c r="H19" t="s">
        <v>11</v>
      </c>
      <c r="I19" t="s">
        <v>12</v>
      </c>
      <c r="J19" t="s">
        <v>13</v>
      </c>
    </row>
    <row r="20" spans="1:14">
      <c r="A20" t="s">
        <v>3</v>
      </c>
      <c r="B20" t="s">
        <v>89</v>
      </c>
      <c r="C20" t="s">
        <v>88</v>
      </c>
      <c r="D20">
        <v>8300</v>
      </c>
      <c r="E20" t="b">
        <v>1</v>
      </c>
      <c r="F20" t="s">
        <v>81</v>
      </c>
      <c r="G20">
        <v>16</v>
      </c>
      <c r="H20">
        <v>16</v>
      </c>
      <c r="I20">
        <f>I13+L13+M20</f>
        <v>347</v>
      </c>
      <c r="J20">
        <f>J13+M13+N20</f>
        <v>55</v>
      </c>
      <c r="M20">
        <v>10</v>
      </c>
      <c r="N20">
        <v>20</v>
      </c>
    </row>
    <row r="21" spans="1:14">
      <c r="A21" t="s">
        <v>3</v>
      </c>
      <c r="B21" t="s">
        <v>87</v>
      </c>
      <c r="C21" t="s">
        <v>86</v>
      </c>
      <c r="D21">
        <v>8300</v>
      </c>
      <c r="E21" t="b">
        <v>1</v>
      </c>
      <c r="F21" t="s">
        <v>81</v>
      </c>
      <c r="G21">
        <v>16</v>
      </c>
      <c r="H21">
        <v>16</v>
      </c>
      <c r="I21">
        <f t="shared" ref="I21:J21" si="2">I14+L14+M21</f>
        <v>497</v>
      </c>
      <c r="J21">
        <f t="shared" si="2"/>
        <v>80</v>
      </c>
      <c r="M21">
        <f>M20</f>
        <v>10</v>
      </c>
      <c r="N21">
        <f>N20</f>
        <v>20</v>
      </c>
    </row>
    <row r="22" spans="1:14">
      <c r="A22" t="s">
        <v>3</v>
      </c>
      <c r="B22" t="s">
        <v>85</v>
      </c>
      <c r="C22" t="s">
        <v>84</v>
      </c>
      <c r="D22">
        <v>8300</v>
      </c>
      <c r="E22" t="b">
        <v>1</v>
      </c>
      <c r="F22" t="s">
        <v>81</v>
      </c>
      <c r="G22">
        <v>16</v>
      </c>
      <c r="H22">
        <v>16</v>
      </c>
      <c r="I22">
        <f t="shared" ref="I22:J22" si="3">I15+L15+M22</f>
        <v>347</v>
      </c>
      <c r="J22">
        <f t="shared" si="3"/>
        <v>115</v>
      </c>
      <c r="M22">
        <f t="shared" ref="M22:M23" si="4">M21</f>
        <v>10</v>
      </c>
      <c r="N22">
        <f t="shared" ref="N22:N23" si="5">N21</f>
        <v>20</v>
      </c>
    </row>
    <row r="23" spans="1:14">
      <c r="A23" t="s">
        <v>3</v>
      </c>
      <c r="B23" t="s">
        <v>83</v>
      </c>
      <c r="C23" t="s">
        <v>82</v>
      </c>
      <c r="D23">
        <v>8300</v>
      </c>
      <c r="E23" t="b">
        <v>1</v>
      </c>
      <c r="F23" t="s">
        <v>81</v>
      </c>
      <c r="G23">
        <v>16</v>
      </c>
      <c r="H23">
        <v>16</v>
      </c>
      <c r="I23">
        <f t="shared" ref="I23:J23" si="6">I16+L16+M23</f>
        <v>197</v>
      </c>
      <c r="J23">
        <f t="shared" si="6"/>
        <v>80</v>
      </c>
      <c r="M23">
        <f t="shared" si="4"/>
        <v>10</v>
      </c>
      <c r="N23">
        <f t="shared" si="5"/>
        <v>20</v>
      </c>
    </row>
    <row r="25" spans="1:14">
      <c r="A25" t="s">
        <v>80</v>
      </c>
      <c r="B25" t="s">
        <v>213</v>
      </c>
      <c r="C25" t="s">
        <v>6</v>
      </c>
      <c r="D25" t="s">
        <v>7</v>
      </c>
      <c r="E25" t="s">
        <v>8</v>
      </c>
      <c r="F25" t="s">
        <v>12</v>
      </c>
      <c r="G25" t="s">
        <v>13</v>
      </c>
      <c r="H25" t="s">
        <v>214</v>
      </c>
      <c r="I25" t="s">
        <v>102</v>
      </c>
      <c r="J25" t="s">
        <v>215</v>
      </c>
      <c r="K25" t="s">
        <v>100</v>
      </c>
    </row>
    <row r="26" spans="1:14">
      <c r="A26" t="s">
        <v>36</v>
      </c>
      <c r="B26" t="s">
        <v>79</v>
      </c>
      <c r="C26" t="s">
        <v>78</v>
      </c>
      <c r="D26">
        <v>8400</v>
      </c>
      <c r="E26" t="b">
        <v>1</v>
      </c>
      <c r="F26">
        <f>I20+M26</f>
        <v>367</v>
      </c>
      <c r="G26">
        <f>J20+N26</f>
        <v>55</v>
      </c>
      <c r="H26" t="s">
        <v>39</v>
      </c>
      <c r="I26" t="s">
        <v>37</v>
      </c>
      <c r="J26" t="s">
        <v>1</v>
      </c>
      <c r="K26" t="s">
        <v>2</v>
      </c>
      <c r="M26">
        <v>20</v>
      </c>
      <c r="N26">
        <v>0</v>
      </c>
    </row>
    <row r="27" spans="1:14">
      <c r="A27" t="s">
        <v>36</v>
      </c>
      <c r="B27" t="s">
        <v>77</v>
      </c>
      <c r="C27" t="s">
        <v>76</v>
      </c>
      <c r="D27">
        <v>8400</v>
      </c>
      <c r="E27" t="b">
        <v>1</v>
      </c>
      <c r="F27">
        <f t="shared" ref="F27:G27" si="7">I21+M27</f>
        <v>517</v>
      </c>
      <c r="G27">
        <f t="shared" si="7"/>
        <v>80</v>
      </c>
      <c r="H27" t="s">
        <v>39</v>
      </c>
      <c r="I27" t="s">
        <v>37</v>
      </c>
      <c r="J27" t="s">
        <v>1</v>
      </c>
      <c r="K27" t="s">
        <v>2</v>
      </c>
      <c r="M27">
        <f>M26</f>
        <v>20</v>
      </c>
      <c r="N27">
        <v>0</v>
      </c>
    </row>
    <row r="28" spans="1:14">
      <c r="A28" t="s">
        <v>36</v>
      </c>
      <c r="B28" t="s">
        <v>75</v>
      </c>
      <c r="C28" t="s">
        <v>74</v>
      </c>
      <c r="D28">
        <v>8400</v>
      </c>
      <c r="E28" t="b">
        <v>1</v>
      </c>
      <c r="F28">
        <f t="shared" ref="F28:G28" si="8">I22+M28</f>
        <v>367</v>
      </c>
      <c r="G28">
        <f t="shared" si="8"/>
        <v>115</v>
      </c>
      <c r="H28" t="s">
        <v>39</v>
      </c>
      <c r="I28" t="s">
        <v>37</v>
      </c>
      <c r="J28" t="s">
        <v>1</v>
      </c>
      <c r="K28" t="s">
        <v>2</v>
      </c>
      <c r="M28">
        <f t="shared" ref="M28:M29" si="9">M27</f>
        <v>20</v>
      </c>
      <c r="N28">
        <v>0</v>
      </c>
    </row>
    <row r="29" spans="1:14">
      <c r="A29" t="s">
        <v>36</v>
      </c>
      <c r="B29" t="s">
        <v>73</v>
      </c>
      <c r="C29" t="s">
        <v>72</v>
      </c>
      <c r="D29">
        <v>8400</v>
      </c>
      <c r="E29" t="b">
        <v>1</v>
      </c>
      <c r="F29">
        <f t="shared" ref="F29:G29" si="10">I23+M29</f>
        <v>217</v>
      </c>
      <c r="G29">
        <f t="shared" si="10"/>
        <v>80</v>
      </c>
      <c r="H29" t="s">
        <v>39</v>
      </c>
      <c r="I29" t="s">
        <v>37</v>
      </c>
      <c r="J29" t="s">
        <v>1</v>
      </c>
      <c r="K29" t="s">
        <v>2</v>
      </c>
      <c r="M29">
        <f t="shared" si="9"/>
        <v>20</v>
      </c>
      <c r="N29">
        <v>0</v>
      </c>
    </row>
    <row r="31" spans="1:14">
      <c r="A31" t="s">
        <v>71</v>
      </c>
      <c r="B31" t="s">
        <v>90</v>
      </c>
      <c r="C31" t="s">
        <v>6</v>
      </c>
      <c r="D31" t="s">
        <v>7</v>
      </c>
      <c r="E31" t="s">
        <v>8</v>
      </c>
      <c r="F31" t="s">
        <v>9</v>
      </c>
      <c r="G31" t="s">
        <v>10</v>
      </c>
      <c r="H31" t="s">
        <v>11</v>
      </c>
      <c r="I31" t="s">
        <v>12</v>
      </c>
      <c r="J31" t="s">
        <v>13</v>
      </c>
    </row>
    <row r="32" spans="1:14">
      <c r="A32" t="s">
        <v>3</v>
      </c>
      <c r="B32" t="s">
        <v>70</v>
      </c>
      <c r="C32" t="s">
        <v>69</v>
      </c>
      <c r="D32">
        <v>8300</v>
      </c>
      <c r="E32" t="b">
        <v>1</v>
      </c>
      <c r="F32" t="s">
        <v>62</v>
      </c>
      <c r="G32">
        <v>16</v>
      </c>
      <c r="H32">
        <v>16</v>
      </c>
      <c r="I32">
        <f>I13+L13+M32</f>
        <v>397</v>
      </c>
      <c r="J32">
        <f>J13+M13+N32</f>
        <v>55</v>
      </c>
      <c r="M32">
        <v>60</v>
      </c>
      <c r="N32">
        <v>20</v>
      </c>
    </row>
    <row r="33" spans="1:14">
      <c r="A33" t="s">
        <v>3</v>
      </c>
      <c r="B33" t="s">
        <v>68</v>
      </c>
      <c r="C33" t="s">
        <v>67</v>
      </c>
      <c r="D33">
        <v>8300</v>
      </c>
      <c r="E33" t="b">
        <v>1</v>
      </c>
      <c r="F33" t="s">
        <v>62</v>
      </c>
      <c r="G33">
        <v>16</v>
      </c>
      <c r="H33">
        <v>16</v>
      </c>
      <c r="I33">
        <f t="shared" ref="I33:J33" si="11">I14+L14+M33</f>
        <v>547</v>
      </c>
      <c r="J33">
        <f t="shared" si="11"/>
        <v>80</v>
      </c>
      <c r="M33">
        <f>M32</f>
        <v>60</v>
      </c>
      <c r="N33">
        <f>N32</f>
        <v>20</v>
      </c>
    </row>
    <row r="34" spans="1:14">
      <c r="A34" t="s">
        <v>3</v>
      </c>
      <c r="B34" t="s">
        <v>66</v>
      </c>
      <c r="C34" t="s">
        <v>65</v>
      </c>
      <c r="D34">
        <v>8300</v>
      </c>
      <c r="E34" t="b">
        <v>1</v>
      </c>
      <c r="F34" t="s">
        <v>62</v>
      </c>
      <c r="G34">
        <v>16</v>
      </c>
      <c r="H34">
        <v>16</v>
      </c>
      <c r="I34">
        <f t="shared" ref="I34:J34" si="12">I15+L15+M34</f>
        <v>397</v>
      </c>
      <c r="J34">
        <f t="shared" si="12"/>
        <v>115</v>
      </c>
      <c r="M34">
        <f t="shared" ref="M34:M35" si="13">M33</f>
        <v>60</v>
      </c>
      <c r="N34">
        <f t="shared" ref="N34:N35" si="14">N33</f>
        <v>20</v>
      </c>
    </row>
    <row r="35" spans="1:14">
      <c r="A35" t="s">
        <v>3</v>
      </c>
      <c r="B35" t="s">
        <v>64</v>
      </c>
      <c r="C35" t="s">
        <v>63</v>
      </c>
      <c r="D35">
        <v>8300</v>
      </c>
      <c r="E35" t="b">
        <v>1</v>
      </c>
      <c r="F35" t="s">
        <v>62</v>
      </c>
      <c r="G35">
        <v>16</v>
      </c>
      <c r="H35">
        <v>16</v>
      </c>
      <c r="I35">
        <f t="shared" ref="I35:J35" si="15">I16+L16+M35</f>
        <v>247</v>
      </c>
      <c r="J35">
        <f t="shared" si="15"/>
        <v>80</v>
      </c>
      <c r="M35">
        <f t="shared" si="13"/>
        <v>60</v>
      </c>
      <c r="N35">
        <f t="shared" si="14"/>
        <v>20</v>
      </c>
    </row>
    <row r="37" spans="1:14">
      <c r="A37" t="s">
        <v>61</v>
      </c>
      <c r="B37" t="s">
        <v>213</v>
      </c>
      <c r="C37" t="s">
        <v>6</v>
      </c>
      <c r="D37" t="s">
        <v>7</v>
      </c>
      <c r="E37" t="s">
        <v>8</v>
      </c>
      <c r="F37" t="s">
        <v>12</v>
      </c>
      <c r="G37" t="s">
        <v>13</v>
      </c>
      <c r="H37" t="s">
        <v>214</v>
      </c>
      <c r="I37" t="s">
        <v>102</v>
      </c>
      <c r="J37" t="s">
        <v>215</v>
      </c>
      <c r="K37" t="s">
        <v>100</v>
      </c>
    </row>
    <row r="38" spans="1:14">
      <c r="A38" t="s">
        <v>36</v>
      </c>
      <c r="B38" t="s">
        <v>60</v>
      </c>
      <c r="C38" t="s">
        <v>59</v>
      </c>
      <c r="D38">
        <v>8400</v>
      </c>
      <c r="E38" t="b">
        <v>1</v>
      </c>
      <c r="F38">
        <f>I32+M38</f>
        <v>417</v>
      </c>
      <c r="G38">
        <f>J32+N38</f>
        <v>55</v>
      </c>
      <c r="H38" t="s">
        <v>39</v>
      </c>
      <c r="I38" t="s">
        <v>37</v>
      </c>
      <c r="J38" t="s">
        <v>1</v>
      </c>
      <c r="K38" t="s">
        <v>2</v>
      </c>
      <c r="M38">
        <v>20</v>
      </c>
      <c r="N38">
        <v>0</v>
      </c>
    </row>
    <row r="39" spans="1:14">
      <c r="A39" t="s">
        <v>36</v>
      </c>
      <c r="B39" t="s">
        <v>58</v>
      </c>
      <c r="C39" t="s">
        <v>57</v>
      </c>
      <c r="D39">
        <v>8400</v>
      </c>
      <c r="E39" t="b">
        <v>1</v>
      </c>
      <c r="F39">
        <f t="shared" ref="F39:G39" si="16">I33+M39</f>
        <v>567</v>
      </c>
      <c r="G39">
        <f t="shared" si="16"/>
        <v>80</v>
      </c>
      <c r="H39" t="s">
        <v>39</v>
      </c>
      <c r="I39" t="s">
        <v>37</v>
      </c>
      <c r="J39" t="s">
        <v>1</v>
      </c>
      <c r="K39" t="s">
        <v>2</v>
      </c>
      <c r="M39">
        <f>M38</f>
        <v>20</v>
      </c>
      <c r="N39">
        <v>0</v>
      </c>
    </row>
    <row r="40" spans="1:14">
      <c r="A40" t="s">
        <v>36</v>
      </c>
      <c r="B40" t="s">
        <v>56</v>
      </c>
      <c r="C40" t="s">
        <v>55</v>
      </c>
      <c r="D40">
        <v>8400</v>
      </c>
      <c r="E40" t="b">
        <v>1</v>
      </c>
      <c r="F40">
        <f t="shared" ref="F40:G40" si="17">I34+M40</f>
        <v>417</v>
      </c>
      <c r="G40">
        <f t="shared" si="17"/>
        <v>115</v>
      </c>
      <c r="H40" t="s">
        <v>39</v>
      </c>
      <c r="I40" t="s">
        <v>37</v>
      </c>
      <c r="J40" t="s">
        <v>1</v>
      </c>
      <c r="K40" t="s">
        <v>2</v>
      </c>
      <c r="M40">
        <f t="shared" ref="M40:M41" si="18">M39</f>
        <v>20</v>
      </c>
      <c r="N40">
        <v>0</v>
      </c>
    </row>
    <row r="41" spans="1:14">
      <c r="A41" t="s">
        <v>36</v>
      </c>
      <c r="B41" t="s">
        <v>54</v>
      </c>
      <c r="C41" t="s">
        <v>53</v>
      </c>
      <c r="D41">
        <v>8400</v>
      </c>
      <c r="E41" t="b">
        <v>1</v>
      </c>
      <c r="F41">
        <f t="shared" ref="F41:G41" si="19">I35+M41</f>
        <v>267</v>
      </c>
      <c r="G41">
        <f t="shared" si="19"/>
        <v>80</v>
      </c>
      <c r="H41" t="s">
        <v>39</v>
      </c>
      <c r="I41" t="s">
        <v>37</v>
      </c>
      <c r="J41" t="s">
        <v>1</v>
      </c>
      <c r="K41" t="s">
        <v>2</v>
      </c>
      <c r="M41">
        <f t="shared" si="18"/>
        <v>20</v>
      </c>
      <c r="N41">
        <v>0</v>
      </c>
    </row>
    <row r="45" spans="1:14">
      <c r="A45" t="s">
        <v>52</v>
      </c>
      <c r="B45" s="1" t="s">
        <v>212</v>
      </c>
      <c r="C45" t="s">
        <v>6</v>
      </c>
      <c r="D45" t="s">
        <v>7</v>
      </c>
      <c r="E45" t="s">
        <v>8</v>
      </c>
      <c r="F45" t="s">
        <v>9</v>
      </c>
      <c r="G45" t="s">
        <v>10</v>
      </c>
      <c r="H45" t="s">
        <v>11</v>
      </c>
      <c r="I45" t="s">
        <v>12</v>
      </c>
      <c r="J45" t="s">
        <v>13</v>
      </c>
      <c r="K45" t="s">
        <v>32</v>
      </c>
      <c r="L45" t="s">
        <v>33</v>
      </c>
    </row>
    <row r="46" spans="1:14">
      <c r="A46" t="s">
        <v>35</v>
      </c>
      <c r="B46" t="s">
        <v>51</v>
      </c>
      <c r="C46" t="s">
        <v>50</v>
      </c>
      <c r="D46">
        <v>8100</v>
      </c>
      <c r="E46" t="b">
        <v>1</v>
      </c>
      <c r="F46" t="s">
        <v>34</v>
      </c>
      <c r="G46">
        <v>15</v>
      </c>
      <c r="H46">
        <v>15</v>
      </c>
      <c r="I46">
        <v>15</v>
      </c>
      <c r="J46">
        <v>160</v>
      </c>
      <c r="K46">
        <v>590</v>
      </c>
      <c r="L46">
        <v>120</v>
      </c>
    </row>
    <row r="47" spans="1:14">
      <c r="A47" t="s">
        <v>35</v>
      </c>
      <c r="B47" t="s">
        <v>49</v>
      </c>
      <c r="C47" t="s">
        <v>48</v>
      </c>
      <c r="D47">
        <v>8100</v>
      </c>
      <c r="E47" t="b">
        <v>1</v>
      </c>
      <c r="F47" t="s">
        <v>34</v>
      </c>
      <c r="G47">
        <v>15</v>
      </c>
      <c r="H47">
        <v>15</v>
      </c>
      <c r="I47">
        <v>15</v>
      </c>
      <c r="J47">
        <v>320</v>
      </c>
      <c r="K47">
        <v>590</v>
      </c>
      <c r="L47">
        <v>120</v>
      </c>
    </row>
    <row r="49" spans="1:15">
      <c r="A49" t="s">
        <v>47</v>
      </c>
      <c r="B49" t="s">
        <v>213</v>
      </c>
      <c r="C49" t="s">
        <v>6</v>
      </c>
      <c r="D49" t="s">
        <v>7</v>
      </c>
      <c r="E49" t="s">
        <v>8</v>
      </c>
      <c r="F49" t="s">
        <v>12</v>
      </c>
      <c r="G49" t="s">
        <v>13</v>
      </c>
      <c r="H49" t="s">
        <v>214</v>
      </c>
      <c r="I49" t="s">
        <v>102</v>
      </c>
      <c r="J49" t="s">
        <v>215</v>
      </c>
      <c r="K49" t="s">
        <v>100</v>
      </c>
    </row>
    <row r="50" spans="1:15">
      <c r="A50" t="s">
        <v>36</v>
      </c>
      <c r="B50" t="s">
        <v>46</v>
      </c>
      <c r="C50" t="s">
        <v>45</v>
      </c>
      <c r="D50">
        <v>8200</v>
      </c>
      <c r="E50" t="b">
        <v>1</v>
      </c>
      <c r="F50">
        <f>I46+N50</f>
        <v>30</v>
      </c>
      <c r="G50">
        <f>J46+O50</f>
        <v>175</v>
      </c>
      <c r="H50" t="s">
        <v>39</v>
      </c>
      <c r="I50" t="s">
        <v>37</v>
      </c>
      <c r="J50" t="s">
        <v>1</v>
      </c>
      <c r="K50" t="s">
        <v>2</v>
      </c>
      <c r="N50">
        <v>15</v>
      </c>
      <c r="O50">
        <v>15</v>
      </c>
    </row>
    <row r="51" spans="1:15">
      <c r="A51" t="s">
        <v>36</v>
      </c>
      <c r="B51" t="s">
        <v>44</v>
      </c>
      <c r="C51" t="s">
        <v>43</v>
      </c>
      <c r="D51">
        <v>8200</v>
      </c>
      <c r="E51" t="b">
        <v>1</v>
      </c>
      <c r="F51">
        <f t="shared" ref="F51:G51" si="20">I47+N51</f>
        <v>30</v>
      </c>
      <c r="G51">
        <f t="shared" si="20"/>
        <v>335</v>
      </c>
      <c r="H51" t="s">
        <v>39</v>
      </c>
      <c r="I51" t="s">
        <v>37</v>
      </c>
      <c r="J51" t="s">
        <v>1</v>
      </c>
      <c r="K51" t="s">
        <v>2</v>
      </c>
      <c r="N51">
        <v>15</v>
      </c>
      <c r="O51">
        <v>15</v>
      </c>
    </row>
    <row r="52" spans="1:15">
      <c r="A52" t="s">
        <v>36</v>
      </c>
      <c r="B52" t="s">
        <v>40</v>
      </c>
      <c r="C52" t="s">
        <v>42</v>
      </c>
      <c r="D52">
        <v>8200</v>
      </c>
      <c r="E52" t="b">
        <v>1</v>
      </c>
      <c r="F52">
        <f>F51</f>
        <v>30</v>
      </c>
      <c r="G52">
        <f>G51+O52</f>
        <v>355</v>
      </c>
      <c r="H52" t="s">
        <v>39</v>
      </c>
      <c r="I52" t="s">
        <v>37</v>
      </c>
      <c r="J52" t="s">
        <v>1</v>
      </c>
      <c r="K52" t="s">
        <v>2</v>
      </c>
      <c r="N52">
        <v>15</v>
      </c>
      <c r="O52">
        <v>20</v>
      </c>
    </row>
  </sheetData>
  <phoneticPr fontId="18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72"/>
  <sheetViews>
    <sheetView workbookViewId="0">
      <selection activeCell="I29" sqref="I29"/>
    </sheetView>
  </sheetViews>
  <sheetFormatPr defaultRowHeight="13.5"/>
  <cols>
    <col min="1" max="1" width="29.5" bestFit="1" customWidth="1"/>
  </cols>
  <sheetData>
    <row r="1" spans="1:15">
      <c r="A1" t="s">
        <v>210</v>
      </c>
      <c r="N1" t="s">
        <v>209</v>
      </c>
      <c r="O1">
        <v>0</v>
      </c>
    </row>
    <row r="2" spans="1:15">
      <c r="N2" t="s">
        <v>208</v>
      </c>
      <c r="O2">
        <v>0</v>
      </c>
    </row>
    <row r="3" spans="1:15">
      <c r="A3" t="s">
        <v>207</v>
      </c>
      <c r="N3" t="s">
        <v>206</v>
      </c>
      <c r="O3">
        <v>390</v>
      </c>
    </row>
    <row r="4" spans="1:15">
      <c r="A4" t="s">
        <v>3</v>
      </c>
      <c r="B4" t="s">
        <v>205</v>
      </c>
      <c r="C4" t="s">
        <v>204</v>
      </c>
      <c r="D4">
        <v>20000</v>
      </c>
      <c r="E4" t="b">
        <v>1</v>
      </c>
      <c r="F4" t="s">
        <v>197</v>
      </c>
      <c r="G4">
        <v>160</v>
      </c>
      <c r="H4">
        <v>90</v>
      </c>
      <c r="I4">
        <v>0</v>
      </c>
      <c r="J4">
        <v>390</v>
      </c>
    </row>
    <row r="5" spans="1:15">
      <c r="A5" t="s">
        <v>3</v>
      </c>
      <c r="B5" t="s">
        <v>203</v>
      </c>
      <c r="C5" t="s">
        <v>202</v>
      </c>
      <c r="D5">
        <v>20000</v>
      </c>
      <c r="E5" t="b">
        <v>1</v>
      </c>
      <c r="F5" t="s">
        <v>197</v>
      </c>
      <c r="G5">
        <v>160</v>
      </c>
      <c r="H5">
        <v>90</v>
      </c>
      <c r="I5">
        <v>160</v>
      </c>
      <c r="J5">
        <v>390</v>
      </c>
    </row>
    <row r="6" spans="1:15">
      <c r="A6" t="s">
        <v>3</v>
      </c>
      <c r="B6" t="s">
        <v>201</v>
      </c>
      <c r="C6" t="s">
        <v>200</v>
      </c>
      <c r="D6">
        <v>20000</v>
      </c>
      <c r="E6" t="b">
        <v>1</v>
      </c>
      <c r="F6" t="s">
        <v>197</v>
      </c>
      <c r="G6">
        <v>160</v>
      </c>
      <c r="H6">
        <v>90</v>
      </c>
      <c r="I6">
        <v>320</v>
      </c>
      <c r="J6">
        <v>390</v>
      </c>
    </row>
    <row r="7" spans="1:15">
      <c r="A7" t="s">
        <v>3</v>
      </c>
      <c r="B7" t="s">
        <v>199</v>
      </c>
      <c r="C7" t="s">
        <v>198</v>
      </c>
      <c r="D7">
        <v>20000</v>
      </c>
      <c r="E7" t="b">
        <v>1</v>
      </c>
      <c r="F7" t="s">
        <v>197</v>
      </c>
      <c r="G7">
        <v>160</v>
      </c>
      <c r="H7">
        <v>90</v>
      </c>
      <c r="I7">
        <v>480</v>
      </c>
      <c r="J7">
        <v>390</v>
      </c>
    </row>
    <row r="9" spans="1:15">
      <c r="A9" t="s">
        <v>196</v>
      </c>
    </row>
    <row r="10" spans="1:15">
      <c r="A10" t="s">
        <v>3</v>
      </c>
      <c r="B10" t="s">
        <v>195</v>
      </c>
      <c r="C10" t="s">
        <v>194</v>
      </c>
      <c r="D10">
        <v>20001</v>
      </c>
      <c r="E10" t="b">
        <v>1</v>
      </c>
      <c r="F10" t="s">
        <v>166</v>
      </c>
      <c r="G10">
        <v>70</v>
      </c>
      <c r="H10">
        <v>10</v>
      </c>
      <c r="I10">
        <v>75</v>
      </c>
      <c r="J10">
        <v>435</v>
      </c>
      <c r="N10">
        <v>70</v>
      </c>
      <c r="O10">
        <v>45</v>
      </c>
    </row>
    <row r="11" spans="1:15">
      <c r="A11" t="s">
        <v>3</v>
      </c>
      <c r="B11" t="s">
        <v>193</v>
      </c>
      <c r="C11" t="s">
        <v>192</v>
      </c>
      <c r="D11">
        <v>20001</v>
      </c>
      <c r="E11" t="b">
        <v>1</v>
      </c>
      <c r="F11" t="s">
        <v>166</v>
      </c>
      <c r="G11">
        <v>70</v>
      </c>
      <c r="H11">
        <v>10</v>
      </c>
      <c r="I11">
        <v>235</v>
      </c>
      <c r="J11">
        <v>435</v>
      </c>
    </row>
    <row r="12" spans="1:15">
      <c r="A12" t="s">
        <v>3</v>
      </c>
      <c r="B12" t="s">
        <v>191</v>
      </c>
      <c r="C12" t="s">
        <v>190</v>
      </c>
      <c r="D12">
        <v>20001</v>
      </c>
      <c r="E12" t="b">
        <v>1</v>
      </c>
      <c r="F12" t="s">
        <v>166</v>
      </c>
      <c r="G12">
        <v>70</v>
      </c>
      <c r="H12">
        <v>10</v>
      </c>
      <c r="I12">
        <v>395</v>
      </c>
      <c r="J12">
        <v>435</v>
      </c>
    </row>
    <row r="13" spans="1:15">
      <c r="A13" t="s">
        <v>3</v>
      </c>
      <c r="B13" t="s">
        <v>189</v>
      </c>
      <c r="C13" t="s">
        <v>188</v>
      </c>
      <c r="D13">
        <v>20001</v>
      </c>
      <c r="E13" t="b">
        <v>1</v>
      </c>
      <c r="F13" t="s">
        <v>166</v>
      </c>
      <c r="G13">
        <v>70</v>
      </c>
      <c r="H13">
        <v>10</v>
      </c>
      <c r="I13">
        <v>555</v>
      </c>
      <c r="J13">
        <v>435</v>
      </c>
    </row>
    <row r="15" spans="1:15">
      <c r="A15" t="s">
        <v>187</v>
      </c>
    </row>
    <row r="16" spans="1:15">
      <c r="A16" t="s">
        <v>3</v>
      </c>
      <c r="B16" t="s">
        <v>186</v>
      </c>
      <c r="C16" t="s">
        <v>185</v>
      </c>
      <c r="D16">
        <v>20001</v>
      </c>
      <c r="E16" t="b">
        <v>1</v>
      </c>
      <c r="F16" t="s">
        <v>166</v>
      </c>
      <c r="G16">
        <v>70</v>
      </c>
      <c r="H16">
        <v>10</v>
      </c>
      <c r="I16">
        <v>75</v>
      </c>
      <c r="J16">
        <v>455</v>
      </c>
      <c r="N16">
        <v>70</v>
      </c>
      <c r="O16">
        <v>65</v>
      </c>
    </row>
    <row r="17" spans="1:15">
      <c r="A17" t="s">
        <v>3</v>
      </c>
      <c r="B17" t="s">
        <v>184</v>
      </c>
      <c r="C17" t="s">
        <v>183</v>
      </c>
      <c r="D17">
        <v>20001</v>
      </c>
      <c r="E17" t="b">
        <v>1</v>
      </c>
      <c r="F17" t="s">
        <v>166</v>
      </c>
      <c r="G17">
        <v>70</v>
      </c>
      <c r="H17">
        <v>10</v>
      </c>
      <c r="I17">
        <v>235</v>
      </c>
      <c r="J17">
        <v>455</v>
      </c>
    </row>
    <row r="18" spans="1:15">
      <c r="A18" t="s">
        <v>3</v>
      </c>
      <c r="B18" t="s">
        <v>182</v>
      </c>
      <c r="C18" t="s">
        <v>181</v>
      </c>
      <c r="D18">
        <v>20001</v>
      </c>
      <c r="E18" t="b">
        <v>1</v>
      </c>
      <c r="F18" t="s">
        <v>166</v>
      </c>
      <c r="G18">
        <v>70</v>
      </c>
      <c r="H18">
        <v>10</v>
      </c>
      <c r="I18">
        <v>395</v>
      </c>
      <c r="J18">
        <v>455</v>
      </c>
    </row>
    <row r="19" spans="1:15">
      <c r="A19" t="s">
        <v>3</v>
      </c>
      <c r="B19" t="s">
        <v>180</v>
      </c>
      <c r="C19" t="s">
        <v>179</v>
      </c>
      <c r="D19">
        <v>20001</v>
      </c>
      <c r="E19" t="b">
        <v>1</v>
      </c>
      <c r="F19" t="s">
        <v>166</v>
      </c>
      <c r="G19">
        <v>70</v>
      </c>
      <c r="H19">
        <v>10</v>
      </c>
      <c r="I19">
        <v>555</v>
      </c>
      <c r="J19">
        <v>455</v>
      </c>
    </row>
    <row r="21" spans="1:15">
      <c r="A21" t="s">
        <v>178</v>
      </c>
    </row>
    <row r="22" spans="1:15">
      <c r="A22" t="s">
        <v>35</v>
      </c>
      <c r="B22" t="s">
        <v>177</v>
      </c>
      <c r="C22" t="s">
        <v>176</v>
      </c>
      <c r="D22">
        <v>20000</v>
      </c>
      <c r="E22" t="b">
        <v>1</v>
      </c>
      <c r="F22" t="s">
        <v>41</v>
      </c>
      <c r="G22">
        <v>15</v>
      </c>
      <c r="H22">
        <v>15</v>
      </c>
      <c r="I22">
        <v>10</v>
      </c>
      <c r="J22">
        <v>-363</v>
      </c>
      <c r="K22">
        <v>96</v>
      </c>
      <c r="L22">
        <v>96</v>
      </c>
    </row>
    <row r="24" spans="1:15">
      <c r="A24" t="s">
        <v>175</v>
      </c>
    </row>
    <row r="25" spans="1:15">
      <c r="A25" t="s">
        <v>3</v>
      </c>
      <c r="B25" t="s">
        <v>174</v>
      </c>
      <c r="C25" t="s">
        <v>173</v>
      </c>
      <c r="D25">
        <v>20001</v>
      </c>
      <c r="E25" t="b">
        <v>1</v>
      </c>
      <c r="F25" t="s">
        <v>166</v>
      </c>
      <c r="G25">
        <v>32</v>
      </c>
      <c r="H25">
        <v>32</v>
      </c>
      <c r="I25">
        <v>-54</v>
      </c>
      <c r="J25">
        <v>-373</v>
      </c>
      <c r="L25">
        <v>54</v>
      </c>
      <c r="M25">
        <v>373</v>
      </c>
    </row>
    <row r="26" spans="1:15">
      <c r="A26" t="s">
        <v>3</v>
      </c>
      <c r="B26" t="s">
        <v>172</v>
      </c>
      <c r="C26" t="s">
        <v>171</v>
      </c>
      <c r="D26">
        <v>20001</v>
      </c>
      <c r="E26" t="b">
        <v>1</v>
      </c>
      <c r="F26" t="s">
        <v>166</v>
      </c>
      <c r="G26">
        <v>32</v>
      </c>
      <c r="H26">
        <v>32</v>
      </c>
      <c r="I26">
        <v>-86</v>
      </c>
      <c r="J26">
        <v>-405</v>
      </c>
      <c r="L26">
        <v>86</v>
      </c>
      <c r="M26">
        <v>405</v>
      </c>
    </row>
    <row r="27" spans="1:15">
      <c r="A27" t="s">
        <v>3</v>
      </c>
      <c r="B27" t="s">
        <v>170</v>
      </c>
      <c r="C27" t="s">
        <v>169</v>
      </c>
      <c r="D27">
        <v>20001</v>
      </c>
      <c r="E27" t="b">
        <v>1</v>
      </c>
      <c r="F27" t="s">
        <v>166</v>
      </c>
      <c r="G27">
        <v>32</v>
      </c>
      <c r="H27">
        <v>32</v>
      </c>
      <c r="I27">
        <v>-54</v>
      </c>
      <c r="J27">
        <v>-437</v>
      </c>
      <c r="L27">
        <v>54</v>
      </c>
      <c r="M27">
        <v>437</v>
      </c>
    </row>
    <row r="28" spans="1:15">
      <c r="A28" t="s">
        <v>3</v>
      </c>
      <c r="B28" t="s">
        <v>168</v>
      </c>
      <c r="C28" t="s">
        <v>167</v>
      </c>
      <c r="D28">
        <v>20001</v>
      </c>
      <c r="E28" t="b">
        <v>1</v>
      </c>
      <c r="F28" t="s">
        <v>166</v>
      </c>
      <c r="G28">
        <v>32</v>
      </c>
      <c r="H28">
        <v>32</v>
      </c>
      <c r="I28">
        <v>-22</v>
      </c>
      <c r="J28">
        <v>-405</v>
      </c>
      <c r="L28">
        <v>22</v>
      </c>
      <c r="M28">
        <v>405</v>
      </c>
    </row>
    <row r="31" spans="1:15">
      <c r="A31" t="s">
        <v>165</v>
      </c>
    </row>
    <row r="32" spans="1:15">
      <c r="A32" t="s">
        <v>148</v>
      </c>
      <c r="B32" t="s">
        <v>164</v>
      </c>
      <c r="C32" t="s">
        <v>163</v>
      </c>
      <c r="D32">
        <v>20001</v>
      </c>
      <c r="E32" t="b">
        <v>1</v>
      </c>
      <c r="F32" t="s">
        <v>156</v>
      </c>
      <c r="G32">
        <v>70</v>
      </c>
      <c r="H32">
        <v>10</v>
      </c>
      <c r="I32">
        <v>75</v>
      </c>
      <c r="J32">
        <v>435</v>
      </c>
      <c r="K32">
        <v>100</v>
      </c>
      <c r="L32">
        <v>100</v>
      </c>
      <c r="N32">
        <v>70</v>
      </c>
      <c r="O32">
        <v>45</v>
      </c>
    </row>
    <row r="33" spans="1:15">
      <c r="A33" t="s">
        <v>148</v>
      </c>
      <c r="B33" t="s">
        <v>162</v>
      </c>
      <c r="C33" t="s">
        <v>161</v>
      </c>
      <c r="D33">
        <v>20001</v>
      </c>
      <c r="E33" t="b">
        <v>1</v>
      </c>
      <c r="F33" t="s">
        <v>156</v>
      </c>
      <c r="G33">
        <v>70</v>
      </c>
      <c r="H33">
        <v>10</v>
      </c>
      <c r="I33">
        <v>235</v>
      </c>
      <c r="J33">
        <v>435</v>
      </c>
      <c r="K33">
        <v>100</v>
      </c>
      <c r="L33">
        <v>100</v>
      </c>
    </row>
    <row r="34" spans="1:15">
      <c r="A34" t="s">
        <v>148</v>
      </c>
      <c r="B34" t="s">
        <v>160</v>
      </c>
      <c r="C34" t="s">
        <v>159</v>
      </c>
      <c r="D34">
        <v>20001</v>
      </c>
      <c r="E34" t="b">
        <v>1</v>
      </c>
      <c r="F34" t="s">
        <v>156</v>
      </c>
      <c r="G34">
        <v>70</v>
      </c>
      <c r="H34">
        <v>10</v>
      </c>
      <c r="I34">
        <v>395</v>
      </c>
      <c r="J34">
        <v>435</v>
      </c>
      <c r="K34">
        <v>100</v>
      </c>
      <c r="L34">
        <v>100</v>
      </c>
    </row>
    <row r="35" spans="1:15">
      <c r="A35" t="s">
        <v>148</v>
      </c>
      <c r="B35" t="s">
        <v>158</v>
      </c>
      <c r="C35" t="s">
        <v>157</v>
      </c>
      <c r="D35">
        <v>20001</v>
      </c>
      <c r="E35" t="b">
        <v>1</v>
      </c>
      <c r="F35" t="s">
        <v>156</v>
      </c>
      <c r="G35">
        <v>70</v>
      </c>
      <c r="H35">
        <v>10</v>
      </c>
      <c r="I35">
        <v>555</v>
      </c>
      <c r="J35">
        <v>435</v>
      </c>
      <c r="K35">
        <v>100</v>
      </c>
      <c r="L35">
        <v>100</v>
      </c>
    </row>
    <row r="37" spans="1:15">
      <c r="A37" t="s">
        <v>155</v>
      </c>
    </row>
    <row r="38" spans="1:15">
      <c r="A38" t="s">
        <v>148</v>
      </c>
      <c r="B38" t="s">
        <v>154</v>
      </c>
      <c r="C38" t="s">
        <v>153</v>
      </c>
      <c r="D38">
        <v>20001</v>
      </c>
      <c r="E38" t="b">
        <v>1</v>
      </c>
      <c r="F38" t="s">
        <v>145</v>
      </c>
      <c r="G38">
        <v>70</v>
      </c>
      <c r="H38">
        <v>10</v>
      </c>
      <c r="I38">
        <v>75</v>
      </c>
      <c r="J38">
        <v>455</v>
      </c>
      <c r="K38">
        <v>100</v>
      </c>
      <c r="L38">
        <v>100</v>
      </c>
      <c r="N38">
        <v>70</v>
      </c>
      <c r="O38">
        <v>65</v>
      </c>
    </row>
    <row r="39" spans="1:15">
      <c r="A39" t="s">
        <v>148</v>
      </c>
      <c r="B39" t="s">
        <v>152</v>
      </c>
      <c r="C39" t="s">
        <v>151</v>
      </c>
      <c r="D39">
        <v>20001</v>
      </c>
      <c r="E39" t="b">
        <v>1</v>
      </c>
      <c r="F39" t="s">
        <v>145</v>
      </c>
      <c r="G39">
        <v>70</v>
      </c>
      <c r="H39">
        <v>10</v>
      </c>
      <c r="I39">
        <v>235</v>
      </c>
      <c r="J39">
        <v>455</v>
      </c>
      <c r="K39">
        <v>100</v>
      </c>
      <c r="L39">
        <v>100</v>
      </c>
    </row>
    <row r="40" spans="1:15">
      <c r="A40" t="s">
        <v>148</v>
      </c>
      <c r="B40" t="s">
        <v>150</v>
      </c>
      <c r="C40" t="s">
        <v>149</v>
      </c>
      <c r="D40">
        <v>20001</v>
      </c>
      <c r="E40" t="b">
        <v>1</v>
      </c>
      <c r="F40" t="s">
        <v>145</v>
      </c>
      <c r="G40">
        <v>70</v>
      </c>
      <c r="H40">
        <v>10</v>
      </c>
      <c r="I40">
        <v>395</v>
      </c>
      <c r="J40">
        <v>455</v>
      </c>
      <c r="K40">
        <v>100</v>
      </c>
      <c r="L40">
        <v>100</v>
      </c>
    </row>
    <row r="41" spans="1:15">
      <c r="A41" t="s">
        <v>148</v>
      </c>
      <c r="B41" t="s">
        <v>147</v>
      </c>
      <c r="C41" t="s">
        <v>146</v>
      </c>
      <c r="D41">
        <v>20001</v>
      </c>
      <c r="E41" t="b">
        <v>1</v>
      </c>
      <c r="F41" t="s">
        <v>145</v>
      </c>
      <c r="G41">
        <v>70</v>
      </c>
      <c r="H41">
        <v>10</v>
      </c>
      <c r="I41">
        <v>555</v>
      </c>
      <c r="J41">
        <v>455</v>
      </c>
      <c r="K41">
        <v>100</v>
      </c>
      <c r="L41">
        <v>100</v>
      </c>
    </row>
    <row r="43" spans="1:15">
      <c r="A43" t="s">
        <v>144</v>
      </c>
    </row>
    <row r="44" spans="1:15">
      <c r="A44" t="s">
        <v>36</v>
      </c>
      <c r="B44" t="s">
        <v>143</v>
      </c>
      <c r="C44" t="s">
        <v>142</v>
      </c>
      <c r="D44">
        <v>20002</v>
      </c>
      <c r="E44" t="b">
        <v>1</v>
      </c>
      <c r="F44">
        <v>65</v>
      </c>
      <c r="G44">
        <v>405</v>
      </c>
      <c r="H44" t="s">
        <v>39</v>
      </c>
      <c r="I44" t="s">
        <v>37</v>
      </c>
      <c r="J44" t="s">
        <v>1</v>
      </c>
      <c r="K44" t="s">
        <v>2</v>
      </c>
      <c r="N44">
        <v>70</v>
      </c>
      <c r="O44">
        <v>15</v>
      </c>
    </row>
    <row r="45" spans="1:15">
      <c r="A45" t="s">
        <v>36</v>
      </c>
      <c r="B45" t="s">
        <v>141</v>
      </c>
      <c r="C45" t="s">
        <v>140</v>
      </c>
      <c r="D45">
        <v>20002</v>
      </c>
      <c r="E45" t="b">
        <v>1</v>
      </c>
      <c r="F45">
        <v>225</v>
      </c>
      <c r="G45">
        <v>405</v>
      </c>
      <c r="H45" t="s">
        <v>39</v>
      </c>
      <c r="I45" t="s">
        <v>37</v>
      </c>
      <c r="J45" t="s">
        <v>1</v>
      </c>
      <c r="K45" t="s">
        <v>2</v>
      </c>
    </row>
    <row r="46" spans="1:15">
      <c r="A46" t="s">
        <v>36</v>
      </c>
      <c r="B46" t="s">
        <v>139</v>
      </c>
      <c r="C46" t="s">
        <v>211</v>
      </c>
      <c r="D46">
        <v>20002</v>
      </c>
      <c r="E46" t="b">
        <v>1</v>
      </c>
      <c r="F46">
        <v>385</v>
      </c>
      <c r="G46">
        <v>405</v>
      </c>
      <c r="H46" t="s">
        <v>39</v>
      </c>
      <c r="I46" t="s">
        <v>37</v>
      </c>
      <c r="J46" t="s">
        <v>1</v>
      </c>
      <c r="K46" t="s">
        <v>2</v>
      </c>
    </row>
    <row r="47" spans="1:15">
      <c r="A47" t="s">
        <v>36</v>
      </c>
      <c r="B47" t="s">
        <v>138</v>
      </c>
      <c r="C47" t="s">
        <v>137</v>
      </c>
      <c r="D47">
        <v>20002</v>
      </c>
      <c r="E47" t="b">
        <v>1</v>
      </c>
      <c r="F47">
        <v>545</v>
      </c>
      <c r="G47">
        <v>405</v>
      </c>
      <c r="H47" t="s">
        <v>39</v>
      </c>
      <c r="I47" t="s">
        <v>37</v>
      </c>
      <c r="J47" t="s">
        <v>1</v>
      </c>
      <c r="K47" t="s">
        <v>2</v>
      </c>
    </row>
    <row r="49" spans="1:18">
      <c r="A49" t="s">
        <v>136</v>
      </c>
    </row>
    <row r="50" spans="1:18">
      <c r="A50" t="s">
        <v>36</v>
      </c>
      <c r="B50" t="s">
        <v>135</v>
      </c>
      <c r="C50" t="s">
        <v>134</v>
      </c>
      <c r="D50">
        <v>20002</v>
      </c>
      <c r="E50" t="b">
        <v>1</v>
      </c>
      <c r="F50">
        <v>75</v>
      </c>
      <c r="G50">
        <v>427</v>
      </c>
      <c r="H50" t="s">
        <v>39</v>
      </c>
      <c r="I50" t="s">
        <v>118</v>
      </c>
      <c r="J50" t="s">
        <v>1</v>
      </c>
      <c r="K50" t="s">
        <v>2</v>
      </c>
      <c r="N50">
        <v>70</v>
      </c>
      <c r="O50">
        <v>37</v>
      </c>
    </row>
    <row r="51" spans="1:18">
      <c r="A51" t="s">
        <v>36</v>
      </c>
      <c r="B51" t="s">
        <v>133</v>
      </c>
      <c r="C51" t="s">
        <v>132</v>
      </c>
      <c r="D51">
        <v>20002</v>
      </c>
      <c r="E51" t="b">
        <v>1</v>
      </c>
      <c r="F51">
        <v>235</v>
      </c>
      <c r="G51">
        <v>427</v>
      </c>
      <c r="H51" t="s">
        <v>39</v>
      </c>
      <c r="I51" t="s">
        <v>118</v>
      </c>
      <c r="J51" t="s">
        <v>1</v>
      </c>
      <c r="K51" t="s">
        <v>2</v>
      </c>
    </row>
    <row r="52" spans="1:18">
      <c r="A52" t="s">
        <v>36</v>
      </c>
      <c r="B52" t="s">
        <v>131</v>
      </c>
      <c r="C52" t="s">
        <v>130</v>
      </c>
      <c r="D52">
        <v>20002</v>
      </c>
      <c r="E52" t="b">
        <v>1</v>
      </c>
      <c r="F52">
        <v>395</v>
      </c>
      <c r="G52">
        <v>427</v>
      </c>
      <c r="H52" t="s">
        <v>39</v>
      </c>
      <c r="I52" t="s">
        <v>118</v>
      </c>
      <c r="J52" t="s">
        <v>1</v>
      </c>
      <c r="K52" t="s">
        <v>2</v>
      </c>
    </row>
    <row r="53" spans="1:18">
      <c r="A53" t="s">
        <v>36</v>
      </c>
      <c r="B53" t="s">
        <v>129</v>
      </c>
      <c r="C53" t="s">
        <v>128</v>
      </c>
      <c r="D53">
        <v>20002</v>
      </c>
      <c r="E53" t="b">
        <v>1</v>
      </c>
      <c r="F53">
        <v>555</v>
      </c>
      <c r="G53">
        <v>427</v>
      </c>
      <c r="H53" t="s">
        <v>39</v>
      </c>
      <c r="I53" t="s">
        <v>118</v>
      </c>
      <c r="J53" t="s">
        <v>1</v>
      </c>
      <c r="K53" t="s">
        <v>2</v>
      </c>
    </row>
    <row r="55" spans="1:18">
      <c r="A55" t="s">
        <v>127</v>
      </c>
    </row>
    <row r="56" spans="1:18">
      <c r="A56" t="s">
        <v>36</v>
      </c>
      <c r="B56" t="s">
        <v>126</v>
      </c>
      <c r="C56" t="s">
        <v>125</v>
      </c>
      <c r="D56">
        <v>20002</v>
      </c>
      <c r="E56" t="b">
        <v>1</v>
      </c>
      <c r="F56">
        <v>75</v>
      </c>
      <c r="G56">
        <v>447</v>
      </c>
      <c r="H56" t="s">
        <v>39</v>
      </c>
      <c r="I56" t="s">
        <v>118</v>
      </c>
      <c r="J56" t="s">
        <v>1</v>
      </c>
      <c r="K56" t="s">
        <v>2</v>
      </c>
      <c r="N56">
        <v>70</v>
      </c>
      <c r="O56">
        <v>57</v>
      </c>
    </row>
    <row r="57" spans="1:18">
      <c r="A57" t="s">
        <v>36</v>
      </c>
      <c r="B57" t="s">
        <v>124</v>
      </c>
      <c r="C57" t="s">
        <v>123</v>
      </c>
      <c r="D57">
        <v>20002</v>
      </c>
      <c r="E57" t="b">
        <v>1</v>
      </c>
      <c r="F57">
        <v>235</v>
      </c>
      <c r="G57">
        <v>447</v>
      </c>
      <c r="H57" t="s">
        <v>39</v>
      </c>
      <c r="I57" t="s">
        <v>118</v>
      </c>
      <c r="J57" t="s">
        <v>1</v>
      </c>
      <c r="K57" t="s">
        <v>2</v>
      </c>
    </row>
    <row r="58" spans="1:18">
      <c r="A58" t="s">
        <v>36</v>
      </c>
      <c r="B58" t="s">
        <v>122</v>
      </c>
      <c r="C58" t="s">
        <v>121</v>
      </c>
      <c r="D58">
        <v>20002</v>
      </c>
      <c r="E58" t="b">
        <v>1</v>
      </c>
      <c r="F58">
        <v>395</v>
      </c>
      <c r="G58">
        <v>447</v>
      </c>
      <c r="H58" t="s">
        <v>39</v>
      </c>
      <c r="I58" t="s">
        <v>118</v>
      </c>
      <c r="J58" t="s">
        <v>1</v>
      </c>
      <c r="K58" t="s">
        <v>2</v>
      </c>
    </row>
    <row r="59" spans="1:18">
      <c r="A59" t="s">
        <v>36</v>
      </c>
      <c r="B59" t="s">
        <v>120</v>
      </c>
      <c r="C59" t="s">
        <v>119</v>
      </c>
      <c r="D59">
        <v>20002</v>
      </c>
      <c r="E59" t="b">
        <v>1</v>
      </c>
      <c r="F59">
        <v>555</v>
      </c>
      <c r="G59">
        <v>447</v>
      </c>
      <c r="H59" t="s">
        <v>39</v>
      </c>
      <c r="I59" t="s">
        <v>118</v>
      </c>
      <c r="J59" t="s">
        <v>1</v>
      </c>
      <c r="K59" t="s">
        <v>2</v>
      </c>
    </row>
    <row r="62" spans="1:18">
      <c r="A62" t="s">
        <v>21</v>
      </c>
      <c r="B62" t="s">
        <v>22</v>
      </c>
      <c r="C62" t="s">
        <v>6</v>
      </c>
      <c r="D62" t="s">
        <v>7</v>
      </c>
      <c r="E62" t="s">
        <v>8</v>
      </c>
      <c r="F62" t="s">
        <v>9</v>
      </c>
      <c r="G62" t="s">
        <v>10</v>
      </c>
      <c r="H62" t="s">
        <v>11</v>
      </c>
      <c r="I62" t="s">
        <v>23</v>
      </c>
      <c r="J62" t="s">
        <v>24</v>
      </c>
      <c r="K62" t="s">
        <v>221</v>
      </c>
      <c r="L62" t="s">
        <v>25</v>
      </c>
      <c r="M62" t="s">
        <v>26</v>
      </c>
      <c r="N62" t="s">
        <v>222</v>
      </c>
      <c r="O62" t="s">
        <v>12</v>
      </c>
      <c r="P62" t="s">
        <v>13</v>
      </c>
    </row>
    <row r="63" spans="1:18">
      <c r="A63" t="s">
        <v>27</v>
      </c>
      <c r="B63" t="s">
        <v>19</v>
      </c>
      <c r="C63" t="s">
        <v>117</v>
      </c>
      <c r="D63">
        <v>20003</v>
      </c>
      <c r="E63" t="b">
        <v>1</v>
      </c>
      <c r="F63" t="s">
        <v>38</v>
      </c>
      <c r="G63">
        <v>64</v>
      </c>
      <c r="H63">
        <v>64</v>
      </c>
      <c r="I63">
        <v>1</v>
      </c>
      <c r="J63">
        <v>1</v>
      </c>
      <c r="K63">
        <v>1</v>
      </c>
      <c r="L63">
        <v>10</v>
      </c>
      <c r="M63" t="b">
        <v>1</v>
      </c>
      <c r="N63" t="b">
        <v>0</v>
      </c>
      <c r="O63">
        <v>10</v>
      </c>
      <c r="P63">
        <v>405</v>
      </c>
      <c r="Q63">
        <v>5</v>
      </c>
      <c r="R63">
        <v>15</v>
      </c>
    </row>
    <row r="64" spans="1:18">
      <c r="A64" t="s">
        <v>27</v>
      </c>
      <c r="B64" t="s">
        <v>19</v>
      </c>
      <c r="C64" t="s">
        <v>116</v>
      </c>
      <c r="D64">
        <v>20003</v>
      </c>
      <c r="E64" t="b">
        <v>1</v>
      </c>
      <c r="F64" t="s">
        <v>38</v>
      </c>
      <c r="G64">
        <v>64</v>
      </c>
      <c r="H64">
        <v>64</v>
      </c>
      <c r="I64">
        <v>1</v>
      </c>
      <c r="J64">
        <v>1</v>
      </c>
      <c r="K64">
        <v>1</v>
      </c>
      <c r="L64">
        <v>10</v>
      </c>
      <c r="M64" t="b">
        <v>1</v>
      </c>
      <c r="N64" t="b">
        <v>0</v>
      </c>
      <c r="O64">
        <v>170</v>
      </c>
      <c r="P64">
        <v>405</v>
      </c>
    </row>
    <row r="65" spans="1:16">
      <c r="A65" t="s">
        <v>27</v>
      </c>
      <c r="B65" t="s">
        <v>19</v>
      </c>
      <c r="C65" t="s">
        <v>115</v>
      </c>
      <c r="D65">
        <v>20003</v>
      </c>
      <c r="E65" t="b">
        <v>1</v>
      </c>
      <c r="F65" t="s">
        <v>38</v>
      </c>
      <c r="G65">
        <v>64</v>
      </c>
      <c r="H65">
        <v>64</v>
      </c>
      <c r="I65">
        <v>1</v>
      </c>
      <c r="J65">
        <v>1</v>
      </c>
      <c r="K65">
        <v>1</v>
      </c>
      <c r="L65">
        <v>10</v>
      </c>
      <c r="M65" t="b">
        <v>1</v>
      </c>
      <c r="N65" t="b">
        <v>0</v>
      </c>
      <c r="O65">
        <v>330</v>
      </c>
      <c r="P65">
        <v>405</v>
      </c>
    </row>
    <row r="66" spans="1:16">
      <c r="A66" t="s">
        <v>27</v>
      </c>
      <c r="B66" t="s">
        <v>19</v>
      </c>
      <c r="C66" t="s">
        <v>114</v>
      </c>
      <c r="D66">
        <v>20003</v>
      </c>
      <c r="E66" t="b">
        <v>1</v>
      </c>
      <c r="F66" t="s">
        <v>38</v>
      </c>
      <c r="G66">
        <v>64</v>
      </c>
      <c r="H66">
        <v>64</v>
      </c>
      <c r="I66">
        <v>1</v>
      </c>
      <c r="J66">
        <v>1</v>
      </c>
      <c r="K66">
        <v>1</v>
      </c>
      <c r="L66">
        <v>10</v>
      </c>
      <c r="M66" t="b">
        <v>1</v>
      </c>
      <c r="N66" t="b">
        <v>0</v>
      </c>
      <c r="O66">
        <v>490</v>
      </c>
      <c r="P66">
        <v>405</v>
      </c>
    </row>
    <row r="68" spans="1:16">
      <c r="A68" t="s">
        <v>5</v>
      </c>
      <c r="B68" t="s">
        <v>4</v>
      </c>
    </row>
    <row r="69" spans="1:16">
      <c r="A69" t="s">
        <v>5</v>
      </c>
      <c r="B69" t="s">
        <v>19</v>
      </c>
      <c r="C69" t="s">
        <v>28</v>
      </c>
      <c r="D69">
        <v>20003</v>
      </c>
      <c r="E69" t="b">
        <v>1</v>
      </c>
      <c r="F69" t="s">
        <v>113</v>
      </c>
      <c r="G69">
        <v>64</v>
      </c>
      <c r="H69">
        <v>64</v>
      </c>
      <c r="I69">
        <v>5</v>
      </c>
      <c r="J69">
        <v>405</v>
      </c>
    </row>
    <row r="70" spans="1:16">
      <c r="A70" t="s">
        <v>5</v>
      </c>
      <c r="B70" t="s">
        <v>19</v>
      </c>
      <c r="C70" t="s">
        <v>29</v>
      </c>
      <c r="D70">
        <v>20003</v>
      </c>
      <c r="E70" t="b">
        <v>1</v>
      </c>
      <c r="F70" t="s">
        <v>113</v>
      </c>
      <c r="G70">
        <v>64</v>
      </c>
      <c r="H70">
        <v>64</v>
      </c>
      <c r="I70">
        <v>165</v>
      </c>
      <c r="J70">
        <v>405</v>
      </c>
    </row>
    <row r="71" spans="1:16">
      <c r="A71" t="s">
        <v>5</v>
      </c>
      <c r="B71" t="s">
        <v>19</v>
      </c>
      <c r="C71" t="s">
        <v>30</v>
      </c>
      <c r="D71">
        <v>20003</v>
      </c>
      <c r="E71" t="b">
        <v>1</v>
      </c>
      <c r="F71" t="s">
        <v>113</v>
      </c>
      <c r="G71">
        <v>64</v>
      </c>
      <c r="H71">
        <v>64</v>
      </c>
      <c r="I71">
        <v>325</v>
      </c>
      <c r="J71">
        <v>405</v>
      </c>
    </row>
    <row r="72" spans="1:16">
      <c r="A72" t="s">
        <v>5</v>
      </c>
      <c r="B72" t="s">
        <v>19</v>
      </c>
      <c r="C72" t="s">
        <v>31</v>
      </c>
      <c r="D72">
        <v>20003</v>
      </c>
      <c r="E72" t="b">
        <v>1</v>
      </c>
      <c r="F72" t="s">
        <v>113</v>
      </c>
      <c r="G72">
        <v>64</v>
      </c>
      <c r="H72">
        <v>64</v>
      </c>
      <c r="I72">
        <v>485</v>
      </c>
      <c r="J72">
        <v>405</v>
      </c>
    </row>
  </sheetData>
  <phoneticPr fontId="18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SkillAbility</vt:lpstr>
      <vt:lpstr>TinyStatus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honya</dc:creator>
  <cp:lastModifiedBy>Javel</cp:lastModifiedBy>
  <dcterms:created xsi:type="dcterms:W3CDTF">2014-07-26T04:03:28Z</dcterms:created>
  <dcterms:modified xsi:type="dcterms:W3CDTF">2014-09-04T03:14:42Z</dcterms:modified>
</cp:coreProperties>
</file>