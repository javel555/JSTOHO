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</sheets>
  <calcPr calcId="0"/>
</workbook>
</file>

<file path=xl/calcChain.xml><?xml version="1.0" encoding="utf-8"?>
<calcChain xmlns="http://schemas.openxmlformats.org/spreadsheetml/2006/main">
  <c r="J55" i="1" l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<sst xmlns="http://schemas.openxmlformats.org/spreadsheetml/2006/main" count="787" uniqueCount="259">
  <si>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</si>
  <si>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</si>
  <si>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</si>
  <si>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</si>
  <si>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</si>
  <si>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</si>
  <si>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</si>
  <si>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</si>
  <si>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</si>
  <si>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</si>
  <si>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</si>
  <si>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</si>
  <si>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</si>
  <si>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</si>
  <si>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</si>
  <si>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</si>
  <si>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</si>
  <si>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</si>
  <si>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</si>
  <si>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./data/img/face/korin.png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</si>
  <si>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</si>
  <si>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</si>
  <si>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</si>
  <si>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</si>
  <si>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</si>
  <si>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</si>
  <si>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</si>
  <si>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</si>
  <si>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</si>
  <si>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</si>
  <si>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</si>
  <si>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</si>
  <si>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</si>
  <si>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</si>
  <si>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</si>
  <si>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</si>
  <si>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</si>
  <si>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</si>
  <si>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</si>
  <si>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</si>
  <si>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</si>
  <si>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</si>
  <si>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</si>
  <si>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</si>
  <si>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</si>
  <si>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</si>
  <si>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</si>
  <si>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</si>
  <si>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</si>
  <si>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</si>
  <si>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</si>
  <si>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</si>
  <si>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</si>
  <si>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</si>
  <si>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</si>
  <si>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</si>
  <si>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</si>
  <si>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</si>
  <si>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</si>
  <si>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</si>
  <si>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</si>
  <si>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</si>
  <si>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</si>
  <si>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</si>
  <si>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</si>
  <si>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</si>
  <si>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</si>
  <si>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</si>
  <si>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</si>
  <si>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</si>
  <si>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</si>
  <si>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</si>
  <si>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</si>
  <si>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</si>
  <si>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</si>
  <si>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./data/img/test/classChange.png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</si>
  <si>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</si>
  <si>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</si>
  <si>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</si>
  <si>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</si>
  <si>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</si>
  <si>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</si>
  <si>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</si>
  <si>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</si>
  <si>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</si>
  <si>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</si>
  <si>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</si>
  <si>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</si>
  <si>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</si>
  <si>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</si>
  <si>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</si>
  <si>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</si>
  <si>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</si>
  <si>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</si>
  <si>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</si>
  <si>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</si>
  <si>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</si>
  <si>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</si>
  <si>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</si>
  <si>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</si>
  <si>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</si>
  <si>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</si>
  <si>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</si>
  <si>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</si>
  <si>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</si>
  <si>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</si>
  <si>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</si>
  <si>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</si>
  <si>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</si>
  <si>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</si>
  <si>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</si>
  <si>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</si>
  <si>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</si>
  <si>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</si>
  <si>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</si>
  <si>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</si>
  <si>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</si>
  <si>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</si>
  <si>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</si>
  <si>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</si>
  <si>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</si>
  <si>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</si>
  <si>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</si>
  <si>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</si>
  <si>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</si>
  <si>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</si>
  <si>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</si>
  <si>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</si>
  <si>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</si>
  <si>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</si>
  <si>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</si>
  <si>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</si>
  <si>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</si>
  <si>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</si>
  <si>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</si>
  <si>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</si>
  <si>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</si>
  <si>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</si>
  <si>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</si>
  <si>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</si>
  <si>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</si>
  <si>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</si>
  <si>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</si>
  <si>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</si>
  <si>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</si>
  <si>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</si>
  <si>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</si>
  <si>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</si>
  <si>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Lv:</t>
  </si>
  <si>
    <t>レベル</t>
  </si>
  <si>
    <t>SYS-Character-Status_Level</t>
  </si>
  <si>
    <t>タイプアイコン</t>
  </si>
  <si>
    <t>SYS-Character-Status_Type-Icon</t>
  </si>
  <si>
    <t>クラス名（ジョブ）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</si>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</sst>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771524</xdr:colOff>
          <xdr:row>0</xdr:row>
          <xdr:rowOff>77881</xdr:rowOff>
        </xdr:from>
        <xdr:to>
          <xdr:col>3</xdr:col>
          <xdr:colOff>19049</xdr:colOff>
          <xdr:row>2</xdr:row>
          <xdr:rowOff>30255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tabSelected="1" topLeftCell="A43" zoomScaleNormal="100" workbookViewId="0">
      <selection activeCell="B41" sqref="B41"/>
    </sheetView>
  </sheetViews>
  <sheetFormatPr defaultColWidth="10" defaultRowHeight="13.5" x14ac:dyDescent="0.15"/>
  <cols>
    <col min="1" max="1" width="41.25" bestFit="1" customWidth="1"/>
    <col min="2" max="2" width="34.125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11</v>
      </c>
      <c r="B6" t="s">
        <v>15</v>
      </c>
      <c r="C6" t="s">
        <v>16</v>
      </c>
      <c r="D6">
        <v>8100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19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20</v>
      </c>
      <c r="B9" t="s">
        <v>130</v>
      </c>
      <c r="C9" t="s">
        <v>21</v>
      </c>
      <c r="D9" t="s">
        <v>22</v>
      </c>
      <c r="E9" t="s">
        <v>23</v>
      </c>
      <c r="F9" t="s">
        <v>24</v>
      </c>
      <c r="G9" t="s">
        <v>25</v>
      </c>
      <c r="H9" t="s">
        <v>26</v>
      </c>
      <c r="I9" t="s">
        <v>27</v>
      </c>
      <c r="J9" t="s">
        <v>28</v>
      </c>
    </row>
    <row r="10" spans="1:18" x14ac:dyDescent="0.15">
      <c r="A10" t="s">
        <v>20</v>
      </c>
      <c r="B10" t="s">
        <v>29</v>
      </c>
      <c r="C10" t="s">
        <v>30</v>
      </c>
      <c r="D10">
        <v>4</v>
      </c>
      <c r="E10" t="b">
        <v>1</v>
      </c>
      <c r="F10" t="s">
        <v>31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32</v>
      </c>
    </row>
    <row r="13" spans="1:18" x14ac:dyDescent="0.15">
      <c r="A13" t="s">
        <v>33</v>
      </c>
    </row>
    <row r="14" spans="1:18" x14ac:dyDescent="0.15">
      <c r="A14" t="s">
        <v>34</v>
      </c>
      <c r="B14" t="s">
        <v>35</v>
      </c>
      <c r="C14" t="s">
        <v>21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I14" t="s">
        <v>27</v>
      </c>
      <c r="J14" t="s">
        <v>28</v>
      </c>
      <c r="K14" t="s">
        <v>36</v>
      </c>
      <c r="L14" t="s">
        <v>37</v>
      </c>
      <c r="M14" t="s">
        <v>38</v>
      </c>
      <c r="N14" t="s">
        <v>8</v>
      </c>
      <c r="O14" t="s">
        <v>9</v>
      </c>
      <c r="P14" t="s">
        <v>10</v>
      </c>
    </row>
    <row r="15" spans="1:18" x14ac:dyDescent="0.15">
      <c r="A15" t="s">
        <v>39</v>
      </c>
      <c r="B15" t="s">
        <v>40</v>
      </c>
      <c r="C15" t="s">
        <v>41</v>
      </c>
      <c r="D15">
        <v>8200</v>
      </c>
      <c r="E15" t="b">
        <v>1</v>
      </c>
      <c r="F15" t="s">
        <v>42</v>
      </c>
      <c r="G15">
        <v>48</v>
      </c>
      <c r="H15">
        <v>30</v>
      </c>
      <c r="I15">
        <f>M21+(G21/2)-(G15/2)</f>
        <v>425</v>
      </c>
      <c r="J15">
        <f>N21-H15</f>
        <v>151</v>
      </c>
      <c r="K15" t="s">
        <v>43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39</v>
      </c>
      <c r="B16" t="s">
        <v>44</v>
      </c>
      <c r="C16" t="s">
        <v>45</v>
      </c>
      <c r="D16">
        <v>8200</v>
      </c>
      <c r="E16" t="b">
        <v>1</v>
      </c>
      <c r="F16" t="s">
        <v>42</v>
      </c>
      <c r="G16">
        <v>48</v>
      </c>
      <c r="H16">
        <v>30</v>
      </c>
      <c r="I16">
        <f t="shared" ref="I16:I18" si="0">M22+(G22/2)-(G16/2)</f>
        <v>473</v>
      </c>
      <c r="J16">
        <f t="shared" ref="J16:J18" si="1">N22-H16</f>
        <v>200</v>
      </c>
      <c r="K16" t="s">
        <v>43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39</v>
      </c>
      <c r="B17" t="s">
        <v>46</v>
      </c>
      <c r="C17" t="s">
        <v>47</v>
      </c>
      <c r="D17">
        <v>8200</v>
      </c>
      <c r="E17" t="b">
        <v>1</v>
      </c>
      <c r="F17" t="s">
        <v>42</v>
      </c>
      <c r="G17">
        <v>48</v>
      </c>
      <c r="H17">
        <v>30</v>
      </c>
      <c r="I17">
        <f t="shared" si="0"/>
        <v>425</v>
      </c>
      <c r="J17">
        <f t="shared" si="1"/>
        <v>251</v>
      </c>
      <c r="K17" t="s">
        <v>43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39</v>
      </c>
      <c r="B18" t="s">
        <v>48</v>
      </c>
      <c r="C18" t="s">
        <v>49</v>
      </c>
      <c r="D18">
        <v>8200</v>
      </c>
      <c r="E18" t="b">
        <v>1</v>
      </c>
      <c r="F18" t="s">
        <v>42</v>
      </c>
      <c r="G18">
        <v>48</v>
      </c>
      <c r="H18">
        <v>30</v>
      </c>
      <c r="I18">
        <f t="shared" si="0"/>
        <v>375</v>
      </c>
      <c r="J18">
        <f t="shared" si="1"/>
        <v>201</v>
      </c>
      <c r="K18" t="s">
        <v>43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50</v>
      </c>
    </row>
    <row r="20" spans="1:16" x14ac:dyDescent="0.15">
      <c r="A20" t="s">
        <v>51</v>
      </c>
      <c r="B20" t="s">
        <v>52</v>
      </c>
      <c r="C20" t="s">
        <v>21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I20" t="s">
        <v>53</v>
      </c>
      <c r="J20" t="s">
        <v>54</v>
      </c>
      <c r="K20" t="s">
        <v>55</v>
      </c>
      <c r="L20" t="s">
        <v>56</v>
      </c>
      <c r="M20" t="s">
        <v>27</v>
      </c>
      <c r="N20" t="s">
        <v>28</v>
      </c>
    </row>
    <row r="21" spans="1:16" x14ac:dyDescent="0.15">
      <c r="A21" t="s">
        <v>57</v>
      </c>
      <c r="B21" t="s">
        <v>40</v>
      </c>
      <c r="C21" t="s">
        <v>58</v>
      </c>
      <c r="D21">
        <v>8100</v>
      </c>
      <c r="E21" t="b">
        <v>1</v>
      </c>
      <c r="F21" t="s">
        <v>59</v>
      </c>
      <c r="G21">
        <v>64</v>
      </c>
      <c r="H21">
        <v>64</v>
      </c>
      <c r="I21">
        <v>8</v>
      </c>
      <c r="J21">
        <v>1</v>
      </c>
      <c r="K21">
        <v>5</v>
      </c>
      <c r="L21" t="b">
        <v>1</v>
      </c>
      <c r="M21">
        <v>417</v>
      </c>
      <c r="N21">
        <v>181</v>
      </c>
    </row>
    <row r="22" spans="1:16" x14ac:dyDescent="0.15">
      <c r="A22" t="s">
        <v>57</v>
      </c>
      <c r="B22" t="s">
        <v>44</v>
      </c>
      <c r="C22" t="s">
        <v>60</v>
      </c>
      <c r="D22">
        <v>8100</v>
      </c>
      <c r="E22" t="b">
        <v>1</v>
      </c>
      <c r="F22" t="s">
        <v>59</v>
      </c>
      <c r="G22">
        <v>64</v>
      </c>
      <c r="H22">
        <v>64</v>
      </c>
      <c r="I22">
        <v>8</v>
      </c>
      <c r="J22">
        <v>1</v>
      </c>
      <c r="K22">
        <v>5</v>
      </c>
      <c r="L22" t="b">
        <v>1</v>
      </c>
      <c r="M22">
        <v>465</v>
      </c>
      <c r="N22">
        <v>230</v>
      </c>
    </row>
    <row r="23" spans="1:16" x14ac:dyDescent="0.15">
      <c r="A23" t="s">
        <v>57</v>
      </c>
      <c r="B23" t="s">
        <v>46</v>
      </c>
      <c r="C23" t="s">
        <v>61</v>
      </c>
      <c r="D23">
        <v>8100</v>
      </c>
      <c r="E23" t="b">
        <v>1</v>
      </c>
      <c r="F23" t="s">
        <v>59</v>
      </c>
      <c r="G23">
        <v>64</v>
      </c>
      <c r="H23">
        <v>64</v>
      </c>
      <c r="I23">
        <v>8</v>
      </c>
      <c r="J23">
        <v>1</v>
      </c>
      <c r="K23">
        <v>5</v>
      </c>
      <c r="L23" t="b">
        <v>1</v>
      </c>
      <c r="M23">
        <v>417</v>
      </c>
      <c r="N23">
        <v>281</v>
      </c>
    </row>
    <row r="24" spans="1:16" x14ac:dyDescent="0.15">
      <c r="A24" t="s">
        <v>57</v>
      </c>
      <c r="B24" t="s">
        <v>48</v>
      </c>
      <c r="C24" t="s">
        <v>62</v>
      </c>
      <c r="D24">
        <v>8100</v>
      </c>
      <c r="E24" t="b">
        <v>1</v>
      </c>
      <c r="F24" t="s">
        <v>59</v>
      </c>
      <c r="G24">
        <v>64</v>
      </c>
      <c r="H24">
        <v>64</v>
      </c>
      <c r="I24">
        <v>8</v>
      </c>
      <c r="J24">
        <v>1</v>
      </c>
      <c r="K24">
        <v>5</v>
      </c>
      <c r="L24" t="b">
        <v>1</v>
      </c>
      <c r="M24">
        <v>367</v>
      </c>
      <c r="N24">
        <v>231</v>
      </c>
    </row>
    <row r="25" spans="1:16" x14ac:dyDescent="0.15">
      <c r="A25" t="s">
        <v>57</v>
      </c>
      <c r="B25" t="s">
        <v>63</v>
      </c>
      <c r="C25" t="s">
        <v>64</v>
      </c>
      <c r="D25">
        <v>8100</v>
      </c>
      <c r="E25" t="b">
        <v>1</v>
      </c>
      <c r="F25" t="s">
        <v>59</v>
      </c>
      <c r="G25">
        <v>64</v>
      </c>
      <c r="H25">
        <v>64</v>
      </c>
      <c r="I25">
        <v>8</v>
      </c>
      <c r="J25">
        <v>1</v>
      </c>
      <c r="K25">
        <v>5</v>
      </c>
      <c r="L25" t="b">
        <v>1</v>
      </c>
      <c r="M25">
        <v>560</v>
      </c>
      <c r="N25">
        <v>230</v>
      </c>
    </row>
    <row r="27" spans="1:16" x14ac:dyDescent="0.15">
      <c r="A27" t="s">
        <v>65</v>
      </c>
    </row>
    <row r="28" spans="1:16" x14ac:dyDescent="0.15">
      <c r="A28" t="s">
        <v>66</v>
      </c>
      <c r="B28" t="s">
        <v>67</v>
      </c>
      <c r="C28" t="s">
        <v>21</v>
      </c>
      <c r="D28" t="s">
        <v>22</v>
      </c>
      <c r="E28" t="s">
        <v>23</v>
      </c>
      <c r="F28" t="s">
        <v>24</v>
      </c>
      <c r="G28" t="s">
        <v>25</v>
      </c>
      <c r="H28" t="s">
        <v>26</v>
      </c>
      <c r="I28" t="s">
        <v>27</v>
      </c>
      <c r="J28" t="s">
        <v>28</v>
      </c>
      <c r="K28" t="s">
        <v>68</v>
      </c>
      <c r="L28" t="s">
        <v>69</v>
      </c>
      <c r="M28" t="s">
        <v>70</v>
      </c>
      <c r="N28" t="s">
        <v>71</v>
      </c>
      <c r="O28" t="s">
        <v>72</v>
      </c>
    </row>
    <row r="29" spans="1:16" x14ac:dyDescent="0.15">
      <c r="A29" t="s">
        <v>11</v>
      </c>
      <c r="B29" t="s">
        <v>73</v>
      </c>
      <c r="C29" t="s">
        <v>74</v>
      </c>
      <c r="D29">
        <v>8300</v>
      </c>
      <c r="E29" t="b">
        <v>1</v>
      </c>
      <c r="F29" t="s">
        <v>75</v>
      </c>
      <c r="G29">
        <v>95</v>
      </c>
      <c r="H29">
        <v>20</v>
      </c>
      <c r="I29">
        <v>30</v>
      </c>
      <c r="J29">
        <v>270</v>
      </c>
    </row>
    <row r="31" spans="1:16" x14ac:dyDescent="0.15">
      <c r="A31" t="s">
        <v>76</v>
      </c>
    </row>
    <row r="32" spans="1:16" x14ac:dyDescent="0.15">
      <c r="A32" t="s">
        <v>34</v>
      </c>
      <c r="B32" t="s">
        <v>35</v>
      </c>
      <c r="C32" t="s">
        <v>21</v>
      </c>
      <c r="D32" t="s">
        <v>22</v>
      </c>
      <c r="E32" t="s">
        <v>23</v>
      </c>
      <c r="F32" t="s">
        <v>24</v>
      </c>
      <c r="G32" t="s">
        <v>25</v>
      </c>
      <c r="H32" t="s">
        <v>26</v>
      </c>
      <c r="I32" t="s">
        <v>27</v>
      </c>
      <c r="J32" t="s">
        <v>28</v>
      </c>
      <c r="K32" t="s">
        <v>36</v>
      </c>
      <c r="L32" t="s">
        <v>37</v>
      </c>
      <c r="M32" t="s">
        <v>38</v>
      </c>
      <c r="N32" t="s">
        <v>8</v>
      </c>
      <c r="O32" t="s">
        <v>9</v>
      </c>
      <c r="P32" t="s">
        <v>10</v>
      </c>
    </row>
    <row r="33" spans="1:25" x14ac:dyDescent="0.15">
      <c r="A33" t="s">
        <v>39</v>
      </c>
      <c r="B33" t="s">
        <v>77</v>
      </c>
      <c r="C33" t="s">
        <v>78</v>
      </c>
      <c r="D33">
        <v>8200</v>
      </c>
      <c r="E33" t="b">
        <v>0</v>
      </c>
      <c r="F33" t="s">
        <v>79</v>
      </c>
      <c r="G33">
        <v>246</v>
      </c>
      <c r="H33">
        <v>20</v>
      </c>
      <c r="I33">
        <v>15</v>
      </c>
      <c r="J33">
        <v>280</v>
      </c>
      <c r="K33" t="s">
        <v>43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39</v>
      </c>
      <c r="B34" t="s">
        <v>80</v>
      </c>
      <c r="C34" t="s">
        <v>81</v>
      </c>
      <c r="D34">
        <v>8200</v>
      </c>
      <c r="E34" t="b">
        <v>0</v>
      </c>
      <c r="F34" t="s">
        <v>79</v>
      </c>
      <c r="G34">
        <v>246</v>
      </c>
      <c r="H34">
        <v>20</v>
      </c>
      <c r="I34">
        <v>15</v>
      </c>
      <c r="J34">
        <v>311</v>
      </c>
      <c r="K34" t="s">
        <v>43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39</v>
      </c>
      <c r="B35" t="s">
        <v>82</v>
      </c>
      <c r="C35" t="s">
        <v>83</v>
      </c>
      <c r="D35">
        <v>8200</v>
      </c>
      <c r="E35" t="b">
        <v>0</v>
      </c>
      <c r="F35" t="s">
        <v>79</v>
      </c>
      <c r="G35">
        <v>246</v>
      </c>
      <c r="H35">
        <v>20</v>
      </c>
      <c r="I35">
        <v>15</v>
      </c>
      <c r="J35">
        <v>328</v>
      </c>
      <c r="K35" t="s">
        <v>43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39</v>
      </c>
      <c r="B36" t="s">
        <v>84</v>
      </c>
      <c r="C36" t="s">
        <v>85</v>
      </c>
      <c r="D36">
        <v>8200</v>
      </c>
      <c r="E36" t="b">
        <v>0</v>
      </c>
      <c r="F36" t="s">
        <v>79</v>
      </c>
      <c r="G36">
        <v>246</v>
      </c>
      <c r="H36">
        <v>20</v>
      </c>
      <c r="I36">
        <v>15</v>
      </c>
      <c r="J36">
        <v>345</v>
      </c>
      <c r="K36" t="s">
        <v>43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86</v>
      </c>
    </row>
    <row r="40" spans="1:25" x14ac:dyDescent="0.15">
      <c r="A40" t="s">
        <v>87</v>
      </c>
    </row>
    <row r="41" spans="1:25" x14ac:dyDescent="0.15">
      <c r="A41" t="s">
        <v>88</v>
      </c>
      <c r="B41" t="s">
        <v>89</v>
      </c>
      <c r="C41" t="s">
        <v>21</v>
      </c>
      <c r="D41" t="s">
        <v>22</v>
      </c>
      <c r="E41" t="s">
        <v>23</v>
      </c>
      <c r="F41" t="s">
        <v>90</v>
      </c>
      <c r="G41" t="s">
        <v>91</v>
      </c>
      <c r="H41" t="s">
        <v>92</v>
      </c>
      <c r="I41" t="s">
        <v>27</v>
      </c>
      <c r="J41" t="s">
        <v>28</v>
      </c>
      <c r="K41" t="s">
        <v>70</v>
      </c>
      <c r="L41" t="s">
        <v>71</v>
      </c>
      <c r="M41" t="s">
        <v>93</v>
      </c>
      <c r="N41" t="s">
        <v>94</v>
      </c>
      <c r="O41" t="s">
        <v>95</v>
      </c>
      <c r="P41" t="s">
        <v>96</v>
      </c>
      <c r="Q41" t="s">
        <v>97</v>
      </c>
      <c r="R41" t="s">
        <v>98</v>
      </c>
      <c r="S41" t="s">
        <v>99</v>
      </c>
      <c r="T41" t="s">
        <v>100</v>
      </c>
      <c r="U41" t="s">
        <v>101</v>
      </c>
      <c r="V41" t="s">
        <v>102</v>
      </c>
      <c r="W41" t="s">
        <v>103</v>
      </c>
    </row>
    <row r="42" spans="1:25" x14ac:dyDescent="0.15">
      <c r="A42" t="s">
        <v>104</v>
      </c>
      <c r="B42" t="s">
        <v>105</v>
      </c>
      <c r="C42" t="s">
        <v>106</v>
      </c>
      <c r="D42">
        <v>8200</v>
      </c>
      <c r="E42" t="b">
        <v>0</v>
      </c>
      <c r="F42" t="s">
        <v>107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108</v>
      </c>
      <c r="P42">
        <v>290</v>
      </c>
      <c r="Q42">
        <v>25</v>
      </c>
      <c r="R42" t="s">
        <v>109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110</v>
      </c>
    </row>
    <row r="46" spans="1:25" x14ac:dyDescent="0.15">
      <c r="A46" t="s">
        <v>111</v>
      </c>
    </row>
    <row r="48" spans="1:25" x14ac:dyDescent="0.15">
      <c r="A48" t="s">
        <v>34</v>
      </c>
      <c r="B48" t="s">
        <v>35</v>
      </c>
      <c r="C48" t="s">
        <v>21</v>
      </c>
      <c r="D48" t="s">
        <v>22</v>
      </c>
      <c r="E48" t="s">
        <v>23</v>
      </c>
      <c r="F48" t="s">
        <v>24</v>
      </c>
      <c r="G48" t="s">
        <v>25</v>
      </c>
      <c r="H48" t="s">
        <v>26</v>
      </c>
      <c r="I48" t="s">
        <v>27</v>
      </c>
      <c r="J48" t="s">
        <v>28</v>
      </c>
      <c r="K48" t="s">
        <v>36</v>
      </c>
      <c r="L48" t="s">
        <v>37</v>
      </c>
      <c r="M48" t="s">
        <v>38</v>
      </c>
      <c r="N48" t="s">
        <v>8</v>
      </c>
      <c r="O48" t="s">
        <v>9</v>
      </c>
      <c r="P48" t="s">
        <v>10</v>
      </c>
    </row>
    <row r="49" spans="1:16" x14ac:dyDescent="0.15">
      <c r="A49" t="s">
        <v>39</v>
      </c>
      <c r="B49" t="s">
        <v>112</v>
      </c>
      <c r="C49" t="s">
        <v>113</v>
      </c>
      <c r="D49">
        <v>8100</v>
      </c>
      <c r="E49" t="b">
        <v>0</v>
      </c>
      <c r="F49" t="s">
        <v>42</v>
      </c>
      <c r="G49">
        <v>48</v>
      </c>
      <c r="H49">
        <v>30</v>
      </c>
      <c r="I49">
        <f>M52+(G52/2)-G49/2</f>
        <v>408</v>
      </c>
      <c r="J49">
        <f>N52-H49</f>
        <v>110</v>
      </c>
      <c r="K49" t="s">
        <v>43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51</v>
      </c>
      <c r="B51" t="s">
        <v>52</v>
      </c>
      <c r="C51" t="s">
        <v>21</v>
      </c>
      <c r="D51" t="s">
        <v>22</v>
      </c>
      <c r="E51" t="s">
        <v>23</v>
      </c>
      <c r="F51" t="s">
        <v>24</v>
      </c>
      <c r="G51" t="s">
        <v>25</v>
      </c>
      <c r="H51" t="s">
        <v>26</v>
      </c>
      <c r="I51" t="s">
        <v>53</v>
      </c>
      <c r="J51" t="s">
        <v>54</v>
      </c>
      <c r="K51" t="s">
        <v>55</v>
      </c>
      <c r="L51" t="s">
        <v>56</v>
      </c>
      <c r="M51" t="s">
        <v>27</v>
      </c>
      <c r="N51" t="s">
        <v>28</v>
      </c>
    </row>
    <row r="52" spans="1:16" x14ac:dyDescent="0.15">
      <c r="A52" t="s">
        <v>57</v>
      </c>
      <c r="B52" t="s">
        <v>114</v>
      </c>
      <c r="C52" t="s">
        <v>115</v>
      </c>
      <c r="D52">
        <v>8200</v>
      </c>
      <c r="E52" t="b">
        <v>0</v>
      </c>
      <c r="F52" t="s">
        <v>59</v>
      </c>
      <c r="G52">
        <v>64</v>
      </c>
      <c r="H52">
        <v>64</v>
      </c>
      <c r="I52">
        <v>8</v>
      </c>
      <c r="J52">
        <v>1</v>
      </c>
      <c r="K52">
        <v>5</v>
      </c>
      <c r="L52" t="b">
        <v>1</v>
      </c>
      <c r="M52">
        <v>400</v>
      </c>
      <c r="N52">
        <v>140</v>
      </c>
    </row>
    <row r="54" spans="1:16" x14ac:dyDescent="0.15">
      <c r="A54" t="s">
        <v>34</v>
      </c>
      <c r="B54" t="s">
        <v>35</v>
      </c>
      <c r="C54" t="s">
        <v>21</v>
      </c>
      <c r="D54" t="s">
        <v>22</v>
      </c>
      <c r="E54" t="s">
        <v>23</v>
      </c>
      <c r="F54" t="s">
        <v>24</v>
      </c>
      <c r="G54" t="s">
        <v>25</v>
      </c>
      <c r="H54" t="s">
        <v>26</v>
      </c>
      <c r="I54" t="s">
        <v>27</v>
      </c>
      <c r="J54" t="s">
        <v>28</v>
      </c>
      <c r="K54" t="s">
        <v>36</v>
      </c>
      <c r="L54" t="s">
        <v>37</v>
      </c>
      <c r="M54" t="s">
        <v>38</v>
      </c>
      <c r="N54" t="s">
        <v>8</v>
      </c>
      <c r="O54" t="s">
        <v>9</v>
      </c>
      <c r="P54" t="s">
        <v>10</v>
      </c>
    </row>
    <row r="55" spans="1:16" x14ac:dyDescent="0.15">
      <c r="A55" t="s">
        <v>39</v>
      </c>
      <c r="B55" t="s">
        <v>116</v>
      </c>
      <c r="C55" t="s">
        <v>117</v>
      </c>
      <c r="D55">
        <v>8100</v>
      </c>
      <c r="E55" t="b">
        <v>0</v>
      </c>
      <c r="F55" t="s">
        <v>42</v>
      </c>
      <c r="G55">
        <v>48</v>
      </c>
      <c r="H55">
        <v>30</v>
      </c>
      <c r="I55">
        <f>M58+(G58/2)-G55/2</f>
        <v>408</v>
      </c>
      <c r="J55">
        <f>N58-H55</f>
        <v>270</v>
      </c>
      <c r="K55" t="s">
        <v>43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51</v>
      </c>
      <c r="B57" t="s">
        <v>52</v>
      </c>
      <c r="C57" t="s">
        <v>21</v>
      </c>
      <c r="D57" t="s">
        <v>22</v>
      </c>
      <c r="E57" t="s">
        <v>23</v>
      </c>
      <c r="F57" t="s">
        <v>24</v>
      </c>
      <c r="G57" t="s">
        <v>25</v>
      </c>
      <c r="H57" t="s">
        <v>26</v>
      </c>
      <c r="I57" t="s">
        <v>53</v>
      </c>
      <c r="J57" t="s">
        <v>54</v>
      </c>
      <c r="K57" t="s">
        <v>55</v>
      </c>
      <c r="L57" t="s">
        <v>56</v>
      </c>
      <c r="M57" t="s">
        <v>27</v>
      </c>
      <c r="N57" t="s">
        <v>28</v>
      </c>
    </row>
    <row r="58" spans="1:16" x14ac:dyDescent="0.15">
      <c r="A58" t="s">
        <v>57</v>
      </c>
      <c r="B58" t="s">
        <v>118</v>
      </c>
      <c r="C58" t="s">
        <v>119</v>
      </c>
      <c r="D58">
        <v>8200</v>
      </c>
      <c r="E58" t="b">
        <v>0</v>
      </c>
      <c r="F58" t="s">
        <v>59</v>
      </c>
      <c r="G58">
        <v>64</v>
      </c>
      <c r="H58">
        <v>64</v>
      </c>
      <c r="I58">
        <v>8</v>
      </c>
      <c r="J58">
        <v>1</v>
      </c>
      <c r="K58">
        <v>5</v>
      </c>
      <c r="L58" t="b">
        <v>1</v>
      </c>
      <c r="M58">
        <v>400</v>
      </c>
      <c r="N58">
        <v>300</v>
      </c>
    </row>
    <row r="60" spans="1:16" x14ac:dyDescent="0.15">
      <c r="A60" t="s">
        <v>120</v>
      </c>
    </row>
    <row r="62" spans="1:16" x14ac:dyDescent="0.15">
      <c r="A62" t="s">
        <v>121</v>
      </c>
    </row>
    <row r="63" spans="1:16" x14ac:dyDescent="0.15">
      <c r="A63" t="s">
        <v>34</v>
      </c>
      <c r="B63" t="s">
        <v>35</v>
      </c>
      <c r="C63" t="s">
        <v>21</v>
      </c>
      <c r="D63" t="s">
        <v>22</v>
      </c>
      <c r="E63" t="s">
        <v>23</v>
      </c>
      <c r="F63" t="s">
        <v>24</v>
      </c>
      <c r="G63" t="s">
        <v>25</v>
      </c>
      <c r="H63" t="s">
        <v>26</v>
      </c>
      <c r="I63" t="s">
        <v>27</v>
      </c>
      <c r="J63" t="s">
        <v>28</v>
      </c>
      <c r="K63" t="s">
        <v>36</v>
      </c>
      <c r="L63" t="s">
        <v>37</v>
      </c>
      <c r="M63" t="s">
        <v>38</v>
      </c>
    </row>
    <row r="64" spans="1:16" x14ac:dyDescent="0.15">
      <c r="A64" t="s">
        <v>39</v>
      </c>
      <c r="B64" t="s">
        <v>122</v>
      </c>
      <c r="C64" t="s">
        <v>123</v>
      </c>
      <c r="D64">
        <v>8200</v>
      </c>
      <c r="E64" t="b">
        <v>0</v>
      </c>
      <c r="F64" t="s">
        <v>124</v>
      </c>
      <c r="G64">
        <v>150</v>
      </c>
      <c r="H64">
        <v>25</v>
      </c>
      <c r="I64">
        <v>10</v>
      </c>
      <c r="J64">
        <v>300</v>
      </c>
      <c r="K64" t="s">
        <v>122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39</v>
      </c>
      <c r="B65" t="s">
        <v>125</v>
      </c>
      <c r="C65" t="s">
        <v>126</v>
      </c>
      <c r="D65">
        <v>8200</v>
      </c>
      <c r="E65" t="b">
        <v>0</v>
      </c>
      <c r="F65" t="s">
        <v>124</v>
      </c>
      <c r="G65">
        <v>150</v>
      </c>
      <c r="H65">
        <v>25</v>
      </c>
      <c r="I65">
        <v>10</v>
      </c>
      <c r="J65">
        <v>325</v>
      </c>
      <c r="K65" t="s">
        <v>127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39</v>
      </c>
      <c r="B66" t="s">
        <v>128</v>
      </c>
      <c r="C66" t="s">
        <v>129</v>
      </c>
      <c r="D66">
        <v>8200</v>
      </c>
      <c r="E66" t="b">
        <v>0</v>
      </c>
      <c r="F66" t="s">
        <v>124</v>
      </c>
      <c r="G66">
        <v>150</v>
      </c>
      <c r="H66">
        <v>25</v>
      </c>
      <c r="I66">
        <v>10</v>
      </c>
      <c r="J66">
        <v>350</v>
      </c>
      <c r="K66" t="s">
        <v>128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"/>
  <sheetViews>
    <sheetView workbookViewId="0">
      <selection activeCell="F34" sqref="F34"/>
    </sheetView>
  </sheetViews>
  <sheetFormatPr defaultRowHeight="13.5" x14ac:dyDescent="0.15"/>
  <cols>
    <col min="1" max="1" width="25.5" customWidth="1"/>
    <col min="6" max="6" width="18.125" customWidth="1"/>
  </cols>
  <sheetData>
    <row r="1" spans="1:14" x14ac:dyDescent="0.15">
      <c r="A1" t="s">
        <v>258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133</v>
      </c>
      <c r="C3" t="s">
        <v>134</v>
      </c>
      <c r="D3">
        <v>8200</v>
      </c>
      <c r="E3" t="b">
        <v>1</v>
      </c>
      <c r="F3" t="s">
        <v>254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 x14ac:dyDescent="0.15">
      <c r="A4" t="s">
        <v>132</v>
      </c>
      <c r="B4" t="s">
        <v>135</v>
      </c>
      <c r="C4" t="s">
        <v>136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137</v>
      </c>
    </row>
    <row r="6" spans="1:14" x14ac:dyDescent="0.15">
      <c r="A6" t="s">
        <v>138</v>
      </c>
      <c r="B6" t="s">
        <v>139</v>
      </c>
      <c r="C6" t="s">
        <v>140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11</v>
      </c>
      <c r="B7" t="s">
        <v>143</v>
      </c>
      <c r="C7" t="s">
        <v>144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  <c r="M7">
        <v>5</v>
      </c>
      <c r="N7">
        <v>5</v>
      </c>
    </row>
    <row r="8" spans="1:14" x14ac:dyDescent="0.15">
      <c r="A8" t="s">
        <v>138</v>
      </c>
      <c r="B8" t="s">
        <v>146</v>
      </c>
      <c r="C8" t="s">
        <v>147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  <c r="M8">
        <v>75</v>
      </c>
      <c r="N8">
        <v>51</v>
      </c>
    </row>
    <row r="9" spans="1:14" x14ac:dyDescent="0.15">
      <c r="A9" t="s">
        <v>138</v>
      </c>
      <c r="B9" t="s">
        <v>149</v>
      </c>
      <c r="C9" t="s">
        <v>150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  <c r="M9">
        <v>22</v>
      </c>
      <c r="N9">
        <v>0</v>
      </c>
    </row>
    <row r="10" spans="1:14" x14ac:dyDescent="0.15">
      <c r="A10" t="s">
        <v>11</v>
      </c>
      <c r="B10" t="s">
        <v>151</v>
      </c>
      <c r="C10" t="s">
        <v>152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  <c r="M10">
        <v>37</v>
      </c>
      <c r="N10">
        <v>37</v>
      </c>
    </row>
    <row r="11" spans="1:14" x14ac:dyDescent="0.15">
      <c r="A11" t="s">
        <v>138</v>
      </c>
      <c r="B11" t="s">
        <v>153</v>
      </c>
      <c r="C11" t="s">
        <v>154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  <c r="M11">
        <v>0</v>
      </c>
      <c r="N11">
        <v>32</v>
      </c>
    </row>
    <row r="12" spans="1:14" x14ac:dyDescent="0.15">
      <c r="A12" t="s">
        <v>155</v>
      </c>
    </row>
    <row r="13" spans="1:14" x14ac:dyDescent="0.15">
      <c r="A13" t="s">
        <v>156</v>
      </c>
    </row>
    <row r="14" spans="1:14" x14ac:dyDescent="0.15">
      <c r="A14" t="s">
        <v>138</v>
      </c>
      <c r="B14" t="s">
        <v>157</v>
      </c>
      <c r="C14" t="s">
        <v>158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  <c r="M14">
        <v>40</v>
      </c>
    </row>
    <row r="15" spans="1:14" x14ac:dyDescent="0.15">
      <c r="A15" t="s">
        <v>138</v>
      </c>
      <c r="B15" t="s">
        <v>160</v>
      </c>
      <c r="C15" t="s">
        <v>161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4" x14ac:dyDescent="0.15">
      <c r="A16" t="s">
        <v>138</v>
      </c>
      <c r="B16" t="s">
        <v>162</v>
      </c>
      <c r="C16" t="s">
        <v>163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4" x14ac:dyDescent="0.15">
      <c r="A17" t="s">
        <v>138</v>
      </c>
      <c r="B17" t="s">
        <v>164</v>
      </c>
      <c r="C17" t="s">
        <v>165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4" x14ac:dyDescent="0.15">
      <c r="A18" t="s">
        <v>138</v>
      </c>
      <c r="B18" t="s">
        <v>166</v>
      </c>
      <c r="C18" t="s">
        <v>167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4" x14ac:dyDescent="0.15">
      <c r="A19" t="s">
        <v>138</v>
      </c>
      <c r="B19" t="s">
        <v>168</v>
      </c>
      <c r="C19" t="s">
        <v>169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4" x14ac:dyDescent="0.15">
      <c r="A20" t="s">
        <v>170</v>
      </c>
    </row>
    <row r="21" spans="1:14" x14ac:dyDescent="0.15">
      <c r="A21" t="s">
        <v>138</v>
      </c>
      <c r="B21" t="s">
        <v>171</v>
      </c>
      <c r="C21" t="s">
        <v>172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  <c r="M21">
        <v>13</v>
      </c>
      <c r="N21">
        <v>13</v>
      </c>
    </row>
    <row r="22" spans="1:14" x14ac:dyDescent="0.15">
      <c r="A22" t="s">
        <v>138</v>
      </c>
      <c r="B22" t="s">
        <v>174</v>
      </c>
      <c r="C22" t="s">
        <v>175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  <c r="N22">
        <v>19</v>
      </c>
    </row>
    <row r="23" spans="1:14" x14ac:dyDescent="0.15">
      <c r="A23" t="s">
        <v>138</v>
      </c>
      <c r="B23" t="s">
        <v>177</v>
      </c>
      <c r="C23" t="s">
        <v>178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4" x14ac:dyDescent="0.15">
      <c r="A24" t="s">
        <v>138</v>
      </c>
      <c r="B24" t="s">
        <v>180</v>
      </c>
      <c r="C24" t="s">
        <v>181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  <c r="M24">
        <v>160</v>
      </c>
    </row>
    <row r="25" spans="1:14" x14ac:dyDescent="0.15">
      <c r="A25" t="s">
        <v>138</v>
      </c>
      <c r="B25" t="s">
        <v>183</v>
      </c>
      <c r="C25" t="s">
        <v>184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4" x14ac:dyDescent="0.15">
      <c r="A26" t="s">
        <v>138</v>
      </c>
      <c r="B26" t="s">
        <v>186</v>
      </c>
      <c r="C26" t="s">
        <v>187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6"/>
  <sheetViews>
    <sheetView workbookViewId="0">
      <selection activeCell="H10" sqref="H10"/>
    </sheetView>
  </sheetViews>
  <sheetFormatPr defaultRowHeight="13.5" x14ac:dyDescent="0.15"/>
  <sheetData>
    <row r="1" spans="1:12" x14ac:dyDescent="0.15">
      <c r="A1" t="s">
        <v>257</v>
      </c>
    </row>
    <row r="2" spans="1:12" x14ac:dyDescent="0.15">
      <c r="A2" t="s">
        <v>131</v>
      </c>
    </row>
    <row r="3" spans="1:12" x14ac:dyDescent="0.15">
      <c r="A3" t="s">
        <v>132</v>
      </c>
      <c r="B3" t="s">
        <v>133</v>
      </c>
      <c r="C3" t="s">
        <v>208</v>
      </c>
      <c r="D3">
        <v>8200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2" x14ac:dyDescent="0.15">
      <c r="A4" t="s">
        <v>132</v>
      </c>
      <c r="B4" t="s">
        <v>135</v>
      </c>
      <c r="C4" t="s">
        <v>207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2" x14ac:dyDescent="0.15">
      <c r="A5" t="s">
        <v>137</v>
      </c>
    </row>
    <row r="6" spans="1:12" x14ac:dyDescent="0.15">
      <c r="A6" t="s">
        <v>138</v>
      </c>
      <c r="B6" t="s">
        <v>139</v>
      </c>
      <c r="C6" t="s">
        <v>206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</row>
    <row r="7" spans="1:12" x14ac:dyDescent="0.15">
      <c r="A7" t="s">
        <v>11</v>
      </c>
      <c r="B7" t="s">
        <v>143</v>
      </c>
      <c r="C7" t="s">
        <v>205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</row>
    <row r="8" spans="1:12" x14ac:dyDescent="0.15">
      <c r="A8" t="s">
        <v>138</v>
      </c>
      <c r="B8" t="s">
        <v>146</v>
      </c>
      <c r="C8" t="s">
        <v>204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</row>
    <row r="9" spans="1:12" x14ac:dyDescent="0.15">
      <c r="A9" t="s">
        <v>138</v>
      </c>
      <c r="B9" t="s">
        <v>149</v>
      </c>
      <c r="C9" t="s">
        <v>203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</row>
    <row r="10" spans="1:12" x14ac:dyDescent="0.15">
      <c r="A10" t="s">
        <v>11</v>
      </c>
      <c r="B10" t="s">
        <v>143</v>
      </c>
      <c r="C10" t="s">
        <v>202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</row>
    <row r="11" spans="1:12" x14ac:dyDescent="0.15">
      <c r="A11" t="s">
        <v>138</v>
      </c>
      <c r="B11" t="s">
        <v>153</v>
      </c>
      <c r="C11" t="s">
        <v>201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</row>
    <row r="12" spans="1:12" x14ac:dyDescent="0.15">
      <c r="A12" t="s">
        <v>155</v>
      </c>
    </row>
    <row r="13" spans="1:12" x14ac:dyDescent="0.15">
      <c r="A13" t="s">
        <v>156</v>
      </c>
    </row>
    <row r="14" spans="1:12" x14ac:dyDescent="0.15">
      <c r="A14" t="s">
        <v>138</v>
      </c>
      <c r="B14" t="s">
        <v>157</v>
      </c>
      <c r="C14" t="s">
        <v>200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</row>
    <row r="15" spans="1:12" x14ac:dyDescent="0.15">
      <c r="A15" t="s">
        <v>138</v>
      </c>
      <c r="B15" t="s">
        <v>160</v>
      </c>
      <c r="C15" t="s">
        <v>199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2" x14ac:dyDescent="0.15">
      <c r="A16" t="s">
        <v>138</v>
      </c>
      <c r="B16" t="s">
        <v>162</v>
      </c>
      <c r="C16" t="s">
        <v>198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1" x14ac:dyDescent="0.15">
      <c r="A17" t="s">
        <v>138</v>
      </c>
      <c r="B17" t="s">
        <v>164</v>
      </c>
      <c r="C17" t="s">
        <v>197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1" x14ac:dyDescent="0.15">
      <c r="A18" t="s">
        <v>138</v>
      </c>
      <c r="B18" t="s">
        <v>166</v>
      </c>
      <c r="C18" t="s">
        <v>196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1" x14ac:dyDescent="0.15">
      <c r="A19" t="s">
        <v>138</v>
      </c>
      <c r="B19" t="s">
        <v>168</v>
      </c>
      <c r="C19" t="s">
        <v>195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1" x14ac:dyDescent="0.15">
      <c r="A20" t="s">
        <v>170</v>
      </c>
    </row>
    <row r="21" spans="1:11" x14ac:dyDescent="0.15">
      <c r="A21" t="s">
        <v>138</v>
      </c>
      <c r="B21" t="s">
        <v>171</v>
      </c>
      <c r="C21" t="s">
        <v>194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</row>
    <row r="22" spans="1:11" x14ac:dyDescent="0.15">
      <c r="A22" t="s">
        <v>138</v>
      </c>
      <c r="B22" t="s">
        <v>174</v>
      </c>
      <c r="C22" t="s">
        <v>193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</row>
    <row r="23" spans="1:11" x14ac:dyDescent="0.15">
      <c r="A23" t="s">
        <v>138</v>
      </c>
      <c r="B23" t="s">
        <v>177</v>
      </c>
      <c r="C23" t="s">
        <v>192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1" x14ac:dyDescent="0.15">
      <c r="A24" t="s">
        <v>138</v>
      </c>
      <c r="B24" t="s">
        <v>180</v>
      </c>
      <c r="C24" t="s">
        <v>191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</row>
    <row r="25" spans="1:11" x14ac:dyDescent="0.15">
      <c r="A25" t="s">
        <v>138</v>
      </c>
      <c r="B25" t="s">
        <v>183</v>
      </c>
      <c r="C25" t="s">
        <v>190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1" x14ac:dyDescent="0.15">
      <c r="A26" t="s">
        <v>138</v>
      </c>
      <c r="B26" t="s">
        <v>186</v>
      </c>
      <c r="C26" t="s">
        <v>189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217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216</v>
      </c>
      <c r="C3" t="s">
        <v>215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214</v>
      </c>
    </row>
    <row r="5" spans="1:14" x14ac:dyDescent="0.15">
      <c r="A5" t="s">
        <v>138</v>
      </c>
      <c r="B5" t="s">
        <v>213</v>
      </c>
      <c r="C5" t="s">
        <v>212</v>
      </c>
      <c r="D5">
        <v>8450</v>
      </c>
      <c r="E5" t="b">
        <v>1</v>
      </c>
      <c r="F5">
        <v>23</v>
      </c>
      <c r="G5">
        <v>338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138</v>
      </c>
      <c r="B6" t="s">
        <v>211</v>
      </c>
      <c r="C6" t="s">
        <v>210</v>
      </c>
      <c r="D6">
        <v>8450</v>
      </c>
      <c r="E6" t="b">
        <v>1</v>
      </c>
      <c r="F6">
        <v>43</v>
      </c>
      <c r="G6">
        <v>358</v>
      </c>
      <c r="H6" t="s">
        <v>209</v>
      </c>
      <c r="I6" t="s">
        <v>142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227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226</v>
      </c>
      <c r="C3" t="s">
        <v>225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224</v>
      </c>
    </row>
    <row r="5" spans="1:14" x14ac:dyDescent="0.15">
      <c r="A5" t="s">
        <v>138</v>
      </c>
      <c r="B5" t="s">
        <v>219</v>
      </c>
      <c r="C5" t="s">
        <v>223</v>
      </c>
      <c r="D5">
        <v>8450</v>
      </c>
      <c r="E5" t="b">
        <v>1</v>
      </c>
      <c r="F5">
        <v>23</v>
      </c>
      <c r="G5">
        <v>273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222</v>
      </c>
    </row>
    <row r="7" spans="1:14" x14ac:dyDescent="0.15">
      <c r="A7" t="s">
        <v>138</v>
      </c>
      <c r="B7" t="s">
        <v>219</v>
      </c>
      <c r="C7" t="s">
        <v>221</v>
      </c>
      <c r="D7">
        <v>8450</v>
      </c>
      <c r="E7" t="b">
        <v>1</v>
      </c>
      <c r="F7">
        <v>160</v>
      </c>
      <c r="G7">
        <v>293</v>
      </c>
      <c r="H7" t="s">
        <v>220</v>
      </c>
      <c r="I7" t="s">
        <v>142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138</v>
      </c>
      <c r="B8" t="s">
        <v>219</v>
      </c>
      <c r="C8" t="s">
        <v>218</v>
      </c>
      <c r="D8">
        <v>8450</v>
      </c>
      <c r="E8" t="b">
        <v>1</v>
      </c>
      <c r="F8">
        <v>220</v>
      </c>
      <c r="G8">
        <v>293</v>
      </c>
      <c r="H8" t="s">
        <v>159</v>
      </c>
      <c r="I8" t="s">
        <v>142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256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232</v>
      </c>
      <c r="C3" t="s">
        <v>231</v>
      </c>
      <c r="D3">
        <v>8100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138</v>
      </c>
      <c r="B5" t="s">
        <v>80</v>
      </c>
      <c r="C5" t="s">
        <v>230</v>
      </c>
      <c r="D5">
        <v>8300</v>
      </c>
      <c r="E5" t="b">
        <v>1</v>
      </c>
      <c r="F5">
        <v>23</v>
      </c>
      <c r="G5">
        <v>314</v>
      </c>
      <c r="H5" t="s">
        <v>141</v>
      </c>
      <c r="I5" t="s">
        <v>142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138</v>
      </c>
      <c r="B6" t="s">
        <v>82</v>
      </c>
      <c r="C6" t="s">
        <v>229</v>
      </c>
      <c r="D6">
        <v>8300</v>
      </c>
      <c r="E6" t="b">
        <v>1</v>
      </c>
      <c r="F6">
        <v>23</v>
      </c>
      <c r="G6">
        <v>331</v>
      </c>
      <c r="H6" t="s">
        <v>141</v>
      </c>
      <c r="I6" t="s">
        <v>142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138</v>
      </c>
      <c r="B7" t="s">
        <v>84</v>
      </c>
      <c r="C7" t="s">
        <v>228</v>
      </c>
      <c r="D7">
        <v>8300</v>
      </c>
      <c r="E7" t="b">
        <v>1</v>
      </c>
      <c r="F7">
        <v>23</v>
      </c>
      <c r="G7">
        <v>348</v>
      </c>
      <c r="H7" t="s">
        <v>141</v>
      </c>
      <c r="I7" t="s">
        <v>142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workbookViewId="0">
      <selection activeCell="D41" sqref="D41"/>
    </sheetView>
  </sheetViews>
  <sheetFormatPr defaultRowHeight="13.5" x14ac:dyDescent="0.15"/>
  <sheetData>
    <row r="1" spans="1:13" x14ac:dyDescent="0.15">
      <c r="A1" t="s">
        <v>255</v>
      </c>
    </row>
    <row r="2" spans="1:13" x14ac:dyDescent="0.15">
      <c r="A2" t="s">
        <v>131</v>
      </c>
    </row>
    <row r="3" spans="1:13" s="1" customFormat="1" x14ac:dyDescent="0.15">
      <c r="A3" s="1" t="s">
        <v>132</v>
      </c>
      <c r="B3" s="1" t="s">
        <v>253</v>
      </c>
      <c r="C3" s="1" t="s">
        <v>252</v>
      </c>
      <c r="D3" s="1">
        <v>1</v>
      </c>
      <c r="E3" s="1" t="b">
        <v>1</v>
      </c>
      <c r="F3" s="1" t="s">
        <v>251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170</v>
      </c>
    </row>
    <row r="5" spans="1:13" s="1" customFormat="1" x14ac:dyDescent="0.15">
      <c r="A5" s="1" t="s">
        <v>138</v>
      </c>
      <c r="B5" s="1" t="s">
        <v>171</v>
      </c>
      <c r="C5" s="1" t="s">
        <v>250</v>
      </c>
      <c r="D5" s="1">
        <v>1</v>
      </c>
      <c r="E5" s="1" t="b">
        <v>1</v>
      </c>
      <c r="F5" s="1">
        <v>23</v>
      </c>
      <c r="G5" s="1">
        <v>193</v>
      </c>
      <c r="H5" s="1" t="s">
        <v>249</v>
      </c>
      <c r="I5" s="1" t="s">
        <v>142</v>
      </c>
      <c r="J5" s="1" t="s">
        <v>9</v>
      </c>
      <c r="K5" s="1" t="s">
        <v>10</v>
      </c>
    </row>
    <row r="6" spans="1:13" s="1" customFormat="1" x14ac:dyDescent="0.15">
      <c r="A6" s="1" t="s">
        <v>138</v>
      </c>
      <c r="B6" s="1" t="s">
        <v>174</v>
      </c>
      <c r="C6" s="1" t="s">
        <v>248</v>
      </c>
      <c r="D6" s="1">
        <v>1</v>
      </c>
      <c r="E6" s="1" t="b">
        <v>1</v>
      </c>
      <c r="F6" s="1">
        <v>23</v>
      </c>
      <c r="G6" s="1">
        <v>212</v>
      </c>
      <c r="H6" s="1" t="s">
        <v>247</v>
      </c>
      <c r="I6" s="1" t="s">
        <v>142</v>
      </c>
      <c r="J6" s="1" t="s">
        <v>9</v>
      </c>
      <c r="K6" s="1" t="s">
        <v>10</v>
      </c>
    </row>
    <row r="7" spans="1:13" s="1" customFormat="1" x14ac:dyDescent="0.15">
      <c r="A7" s="1" t="s">
        <v>138</v>
      </c>
      <c r="B7" s="1" t="s">
        <v>177</v>
      </c>
      <c r="C7" s="1" t="s">
        <v>246</v>
      </c>
      <c r="D7" s="1">
        <v>1</v>
      </c>
      <c r="E7" s="1" t="b">
        <v>1</v>
      </c>
      <c r="F7" s="1">
        <v>23</v>
      </c>
      <c r="G7" s="1">
        <v>231</v>
      </c>
      <c r="H7" s="1" t="s">
        <v>245</v>
      </c>
      <c r="I7" s="1" t="s">
        <v>142</v>
      </c>
      <c r="J7" s="1" t="s">
        <v>9</v>
      </c>
      <c r="K7" s="1" t="s">
        <v>10</v>
      </c>
    </row>
    <row r="8" spans="1:13" s="1" customFormat="1" x14ac:dyDescent="0.15">
      <c r="A8" s="1" t="s">
        <v>138</v>
      </c>
      <c r="B8" s="1" t="s">
        <v>180</v>
      </c>
      <c r="C8" s="1" t="s">
        <v>244</v>
      </c>
      <c r="D8" s="1">
        <v>1</v>
      </c>
      <c r="E8" s="1" t="b">
        <v>1</v>
      </c>
      <c r="F8" s="1">
        <v>183</v>
      </c>
      <c r="G8" s="1">
        <v>193</v>
      </c>
      <c r="H8" s="1" t="s">
        <v>243</v>
      </c>
      <c r="I8" s="1" t="s">
        <v>142</v>
      </c>
      <c r="J8" s="1" t="s">
        <v>9</v>
      </c>
      <c r="K8" s="1" t="s">
        <v>10</v>
      </c>
    </row>
    <row r="9" spans="1:13" s="1" customFormat="1" x14ac:dyDescent="0.15">
      <c r="A9" s="1" t="s">
        <v>138</v>
      </c>
      <c r="B9" s="1" t="s">
        <v>183</v>
      </c>
      <c r="C9" s="1" t="s">
        <v>242</v>
      </c>
      <c r="D9" s="1">
        <v>1</v>
      </c>
      <c r="E9" s="1" t="b">
        <v>1</v>
      </c>
      <c r="F9" s="1">
        <v>183</v>
      </c>
      <c r="G9" s="1">
        <v>212</v>
      </c>
      <c r="H9" s="1" t="s">
        <v>241</v>
      </c>
      <c r="I9" s="1" t="s">
        <v>142</v>
      </c>
      <c r="J9" s="1" t="s">
        <v>9</v>
      </c>
      <c r="K9" s="1" t="s">
        <v>10</v>
      </c>
    </row>
    <row r="10" spans="1:13" s="1" customFormat="1" x14ac:dyDescent="0.15">
      <c r="A10" s="1" t="s">
        <v>138</v>
      </c>
      <c r="B10" s="1" t="s">
        <v>186</v>
      </c>
      <c r="C10" s="1" t="s">
        <v>240</v>
      </c>
      <c r="D10" s="1">
        <v>1</v>
      </c>
      <c r="E10" s="1" t="b">
        <v>1</v>
      </c>
      <c r="F10" s="1">
        <v>183</v>
      </c>
      <c r="G10" s="1">
        <v>231</v>
      </c>
      <c r="H10" s="1" t="s">
        <v>239</v>
      </c>
      <c r="I10" s="1" t="s">
        <v>142</v>
      </c>
      <c r="J10" s="1" t="s">
        <v>9</v>
      </c>
      <c r="K10" s="1" t="s">
        <v>10</v>
      </c>
    </row>
    <row r="11" spans="1:13" x14ac:dyDescent="0.15">
      <c r="A11" t="s">
        <v>156</v>
      </c>
    </row>
    <row r="12" spans="1:13" x14ac:dyDescent="0.15">
      <c r="A12" t="s">
        <v>138</v>
      </c>
      <c r="B12" t="s">
        <v>157</v>
      </c>
      <c r="C12" t="s">
        <v>238</v>
      </c>
      <c r="D12">
        <v>8300</v>
      </c>
      <c r="E12" t="b">
        <v>1</v>
      </c>
      <c r="F12">
        <v>123</v>
      </c>
      <c r="G12">
        <v>193</v>
      </c>
      <c r="H12" t="s">
        <v>159</v>
      </c>
      <c r="I12" t="s">
        <v>142</v>
      </c>
      <c r="J12" t="s">
        <v>9</v>
      </c>
      <c r="K12" t="s">
        <v>10</v>
      </c>
      <c r="M12">
        <v>100</v>
      </c>
    </row>
    <row r="13" spans="1:13" x14ac:dyDescent="0.15">
      <c r="A13" t="s">
        <v>138</v>
      </c>
      <c r="B13" t="s">
        <v>160</v>
      </c>
      <c r="C13" t="s">
        <v>237</v>
      </c>
      <c r="D13">
        <v>8300</v>
      </c>
      <c r="E13" t="b">
        <v>1</v>
      </c>
      <c r="F13">
        <v>123</v>
      </c>
      <c r="G13">
        <v>212</v>
      </c>
      <c r="H13" t="s">
        <v>159</v>
      </c>
      <c r="I13" t="s">
        <v>142</v>
      </c>
      <c r="J13" t="s">
        <v>9</v>
      </c>
      <c r="K13" t="s">
        <v>10</v>
      </c>
      <c r="M13">
        <v>100</v>
      </c>
    </row>
    <row r="14" spans="1:13" x14ac:dyDescent="0.15">
      <c r="A14" t="s">
        <v>138</v>
      </c>
      <c r="B14" t="s">
        <v>162</v>
      </c>
      <c r="C14" t="s">
        <v>236</v>
      </c>
      <c r="D14">
        <v>8300</v>
      </c>
      <c r="E14" t="b">
        <v>1</v>
      </c>
      <c r="F14">
        <v>123</v>
      </c>
      <c r="G14">
        <v>231</v>
      </c>
      <c r="H14" t="s">
        <v>159</v>
      </c>
      <c r="I14" t="s">
        <v>142</v>
      </c>
      <c r="J14" t="s">
        <v>9</v>
      </c>
      <c r="K14" t="s">
        <v>10</v>
      </c>
      <c r="M14">
        <v>100</v>
      </c>
    </row>
    <row r="15" spans="1:13" x14ac:dyDescent="0.15">
      <c r="A15" t="s">
        <v>138</v>
      </c>
      <c r="B15" t="s">
        <v>164</v>
      </c>
      <c r="C15" t="s">
        <v>235</v>
      </c>
      <c r="D15">
        <v>8300</v>
      </c>
      <c r="E15" t="b">
        <v>1</v>
      </c>
      <c r="F15">
        <v>253</v>
      </c>
      <c r="G15">
        <v>193</v>
      </c>
      <c r="H15" t="s">
        <v>159</v>
      </c>
      <c r="I15" t="s">
        <v>142</v>
      </c>
      <c r="J15" t="s">
        <v>9</v>
      </c>
      <c r="K15" t="s">
        <v>10</v>
      </c>
      <c r="M15">
        <v>70</v>
      </c>
    </row>
    <row r="16" spans="1:13" x14ac:dyDescent="0.15">
      <c r="A16" t="s">
        <v>138</v>
      </c>
      <c r="B16" t="s">
        <v>166</v>
      </c>
      <c r="C16" t="s">
        <v>234</v>
      </c>
      <c r="D16">
        <v>8300</v>
      </c>
      <c r="E16" t="b">
        <v>1</v>
      </c>
      <c r="F16">
        <v>253</v>
      </c>
      <c r="G16">
        <v>212</v>
      </c>
      <c r="H16" t="s">
        <v>159</v>
      </c>
      <c r="I16" t="s">
        <v>142</v>
      </c>
      <c r="J16" t="s">
        <v>9</v>
      </c>
      <c r="K16" t="s">
        <v>10</v>
      </c>
      <c r="M16">
        <v>70</v>
      </c>
    </row>
    <row r="17" spans="1:13" x14ac:dyDescent="0.15">
      <c r="A17" t="s">
        <v>138</v>
      </c>
      <c r="B17" t="s">
        <v>168</v>
      </c>
      <c r="C17" t="s">
        <v>233</v>
      </c>
      <c r="D17">
        <v>8300</v>
      </c>
      <c r="E17" t="b">
        <v>1</v>
      </c>
      <c r="F17">
        <v>253</v>
      </c>
      <c r="G17">
        <v>231</v>
      </c>
      <c r="H17" t="s">
        <v>159</v>
      </c>
      <c r="I17" t="s">
        <v>142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2014-07-27T08:35:43Z</dcterms:modified>
</cp:coreProperties>
</file>