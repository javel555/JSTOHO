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28035" windowHeight="12540" firstSheet="5" activeTab="7"/>
  </bookViews>
  <sheets>
    <sheet name="VillageKeine" sheetId="1" r:id="rId1"/>
    <sheet name="VillageKeineCharacterStatus" sheetId="2" r:id="rId2"/>
    <sheet name="VillageKeineClassChangeStatus" sheetId="3" r:id="rId3"/>
    <sheet name="VillageKeineItemAbility" sheetId="4" r:id="rId4"/>
    <sheet name="VillageKeineItemText" sheetId="5" r:id="rId5"/>
    <sheet name="VillageKeineMemberWepon" sheetId="6" r:id="rId6"/>
    <sheet name="VillageKeineWeponStatus" sheetId="7" r:id="rId7"/>
    <sheet name="villageMain" sheetId="8" r:id="rId8"/>
    <sheet name="villageDungion" sheetId="9" r:id="rId9"/>
  </sheets>
  <calcPr calcId="145621"/>
</workbook>
</file>

<file path=xl/calcChain.xml><?xml version="1.0" encoding="utf-8"?>
<calcChain xmlns="http://schemas.openxmlformats.org/spreadsheetml/2006/main">
  <c r="G6" i="3" l="1"/>
  <c r="G7" i="3"/>
  <c r="G8" i="3"/>
  <c r="G9" i="3"/>
  <c r="G10" i="3"/>
  <c r="G11" i="3"/>
  <c r="G12" i="3"/>
  <c r="G13" i="3"/>
  <c r="G14" i="3"/>
  <c r="G15" i="3"/>
  <c r="G16" i="3"/>
  <c r="G17" i="3"/>
  <c r="F7" i="3"/>
  <c r="F8" i="3"/>
  <c r="F9" i="3"/>
  <c r="F10" i="3"/>
  <c r="F11" i="3"/>
  <c r="F12" i="3"/>
  <c r="F13" i="3"/>
  <c r="F14" i="3"/>
  <c r="F15" i="3"/>
  <c r="F16" i="3"/>
  <c r="F17" i="3"/>
  <c r="F6" i="3"/>
  <c r="F10" i="2"/>
  <c r="F17" i="2"/>
  <c r="G12" i="2"/>
  <c r="G15" i="2"/>
  <c r="G17" i="2"/>
  <c r="G10" i="2"/>
  <c r="F12" i="2"/>
  <c r="O52" i="1" l="1"/>
  <c r="O58" i="1" s="1"/>
  <c r="F14" i="2"/>
  <c r="F15" i="2"/>
  <c r="J18" i="8" l="1"/>
  <c r="J19" i="8" s="1"/>
  <c r="J20" i="8" s="1"/>
  <c r="J21" i="8" s="1"/>
  <c r="J9" i="9" s="1"/>
  <c r="J17" i="8"/>
  <c r="I17" i="8"/>
  <c r="I18" i="8" s="1"/>
  <c r="I19" i="8" s="1"/>
  <c r="I20" i="8" s="1"/>
  <c r="I21" i="8" s="1"/>
  <c r="I9" i="9" s="1"/>
  <c r="J55" i="1"/>
  <c r="J49" i="1"/>
  <c r="I49" i="1"/>
  <c r="I55" i="1"/>
  <c r="J16" i="1"/>
  <c r="J17" i="1"/>
  <c r="J18" i="1"/>
  <c r="J15" i="1"/>
  <c r="I16" i="1"/>
  <c r="I17" i="1"/>
  <c r="I18" i="1"/>
  <c r="I15" i="1"/>
</calcChain>
</file>

<file path=xl/sharedStrings.xml><?xml version="1.0" encoding="utf-8"?>
<sst xmlns="http://schemas.openxmlformats.org/spreadsheetml/2006/main" count="1003" uniqueCount="350">
  <si>
    <t>#博麗神社</t>
  </si>
  <si>
    <t>#</t>
  </si>
  <si>
    <t>#共通定義（タイトル、テキスト、顔グラ、村グラ）</t>
  </si>
  <si>
    <t>JSGAMECLGCommonTextWindow</t>
  </si>
  <si>
    <t>セリフ</t>
  </si>
  <si>
    <t>KeineMenuText</t>
  </si>
  <si>
    <t>./data/img/common/window20x20.png</t>
  </si>
  <si>
    <t>いらっしゃい！\n今日も安いよ！\n幻の３行目</t>
  </si>
  <si>
    <t>testFont</t>
  </si>
  <si>
    <t>textFront</t>
  </si>
  <si>
    <t>textShadow</t>
  </si>
  <si>
    <t>JSGAMECLGCommonImage</t>
  </si>
  <si>
    <t>村画像</t>
  </si>
  <si>
    <t>back-village</t>
  </si>
  <si>
    <t>./data/img/village/jinja.png</t>
  </si>
  <si>
    <t>顔グラ</t>
  </si>
  <si>
    <t>back-face</t>
  </si>
  <si>
    <t>./data/img/common/face_frame.png</t>
  </si>
  <si>
    <t>face</t>
  </si>
  <si>
    <t>#JSGAMECLGCommonImage</t>
  </si>
  <si>
    <t>UID</t>
  </si>
  <si>
    <t>描画順序</t>
  </si>
  <si>
    <t>表示/非表示</t>
  </si>
  <si>
    <t>画像パス</t>
  </si>
  <si>
    <t>画像サイズX</t>
  </si>
  <si>
    <t>画像サイズY</t>
  </si>
  <si>
    <t>表示座標X</t>
  </si>
  <si>
    <t>表示座標Y</t>
  </si>
  <si>
    <t>PTがいる床</t>
  </si>
  <si>
    <t>back-pt-yuka</t>
  </si>
  <si>
    <t>./data/img/village/yuka.png</t>
  </si>
  <si>
    <t>##########キャラ選択画面##########</t>
  </si>
  <si>
    <t>#メンバースロット</t>
  </si>
  <si>
    <t>#JSGAMECLGCommonMenuElement</t>
  </si>
  <si>
    <t>汎用メニュー選択肢、画像の上側が未選択、下が選択中</t>
  </si>
  <si>
    <t>表示文言</t>
  </si>
  <si>
    <t>文言のマージンX座標</t>
  </si>
  <si>
    <t>文言のマージンY座標</t>
  </si>
  <si>
    <t>JSGAMECLGCommonMenuElement</t>
  </si>
  <si>
    <t>上</t>
  </si>
  <si>
    <t>keine-slot1</t>
  </si>
  <si>
    <t>./data/img/village/yajirusi.png</t>
  </si>
  <si>
    <t xml:space="preserve"> </t>
  </si>
  <si>
    <t>右</t>
  </si>
  <si>
    <t>keine-slot2</t>
  </si>
  <si>
    <t>下</t>
  </si>
  <si>
    <t>keine-slot3</t>
  </si>
  <si>
    <t>左</t>
  </si>
  <si>
    <t>keine-slot4</t>
  </si>
  <si>
    <t>#メンバー画像</t>
  </si>
  <si>
    <t>#JSGAMECLGCommonAnimation</t>
  </si>
  <si>
    <t>単純なアニメ</t>
  </si>
  <si>
    <t>画像横個数</t>
  </si>
  <si>
    <t>画像縦個数</t>
  </si>
  <si>
    <t>フレームレート</t>
  </si>
  <si>
    <t>ループ有無</t>
  </si>
  <si>
    <t>JSGAMECLGCommonAnimation</t>
  </si>
  <si>
    <t>keine-slot-chara1</t>
  </si>
  <si>
    <t>./data/img/character/err_Character.png</t>
  </si>
  <si>
    <t>keine-slot-chara2</t>
  </si>
  <si>
    <t>keine-slot-chara3</t>
  </si>
  <si>
    <t>keine-slot-chara4</t>
  </si>
  <si>
    <t>こころちゃん</t>
  </si>
  <si>
    <t>kokoro</t>
  </si>
  <si>
    <t>#パーティ情報</t>
  </si>
  <si>
    <t>#JSGAMECLGCommonTextWindow</t>
  </si>
  <si>
    <t>テキストウィンドウ</t>
  </si>
  <si>
    <t>表示サイズX</t>
  </si>
  <si>
    <t>表示サイズY</t>
  </si>
  <si>
    <t>テキスト桁数</t>
  </si>
  <si>
    <t>テキスト行数</t>
  </si>
  <si>
    <t>表示文言セット</t>
  </si>
  <si>
    <t>進化可否表示</t>
  </si>
  <si>
    <t>keine-current-evol</t>
  </si>
  <si>
    <t>##########装備スロット選択##########</t>
  </si>
  <si>
    <t>進化ボタン</t>
  </si>
  <si>
    <t>keine-wepon-evol</t>
  </si>
  <si>
    <t>./data/img/common/menu_wepon.png</t>
  </si>
  <si>
    <t>装備１</t>
  </si>
  <si>
    <t>keine-wepon-slot1</t>
  </si>
  <si>
    <t>装備２</t>
  </si>
  <si>
    <t>keine-wepon-slot2</t>
  </si>
  <si>
    <t>装備３</t>
  </si>
  <si>
    <t>keine-wepon-slot3</t>
  </si>
  <si>
    <t>##########装備選択画面##########</t>
  </si>
  <si>
    <t>#装備選択</t>
  </si>
  <si>
    <t>#JSGAMECLGCommonTextSelecter</t>
  </si>
  <si>
    <t>テキスト選択リスト</t>
  </si>
  <si>
    <t>背景画像パス</t>
  </si>
  <si>
    <t>背景画像１片の横幅</t>
  </si>
  <si>
    <t>背景画像１片の縦幅</t>
  </si>
  <si>
    <t>背景横幅</t>
  </si>
  <si>
    <t>背景縦幅</t>
  </si>
  <si>
    <t>続きマーク画像パス</t>
  </si>
  <si>
    <t>続きマーク画像横幅</t>
  </si>
  <si>
    <t>続きマーク画像縦幅</t>
  </si>
  <si>
    <t>カーソル画像パス</t>
  </si>
  <si>
    <t>カーソル画像横幅</t>
  </si>
  <si>
    <t>カーソル画像縦幅</t>
  </si>
  <si>
    <t>フォント指定</t>
  </si>
  <si>
    <t>インデント左</t>
  </si>
  <si>
    <t>インデント下</t>
  </si>
  <si>
    <t>JSGAMECLGCommonTextSelecter</t>
  </si>
  <si>
    <t>装備選択リスト</t>
  </si>
  <si>
    <t>keine-wepon-menu</t>
  </si>
  <si>
    <t>./data/img/common/window15x15.png</t>
  </si>
  <si>
    <t>./data/img/village/next.png</t>
  </si>
  <si>
    <t>./data/img/common/menu_pointer.png</t>
  </si>
  <si>
    <t>##########クラスチェンジ画面##########</t>
  </si>
  <si>
    <t>#クラスチェンジ画面</t>
  </si>
  <si>
    <t>クラスチェンジ先１選択（カーソルかな？）</t>
  </si>
  <si>
    <t>keine-class1-menu</t>
  </si>
  <si>
    <t>クラスチェンジ先１キャラ画像</t>
  </si>
  <si>
    <t>keine-class1-img</t>
  </si>
  <si>
    <t>クラスチェンジ先２選択（カーソル、たぶん）</t>
  </si>
  <si>
    <t>keine-class2-menu</t>
  </si>
  <si>
    <t>クラスチェンジ先２キャラ画像</t>
  </si>
  <si>
    <t>keine-class2-img</t>
  </si>
  <si>
    <t>##########次画面選択##########</t>
  </si>
  <si>
    <t>#クラスチェンジ問い合わせ</t>
  </si>
  <si>
    <t>クラスチェンジ</t>
  </si>
  <si>
    <t>keine-parmit-classchange</t>
  </si>
  <si>
    <t>./data/img/common/menu_elem3_m.png</t>
  </si>
  <si>
    <t>装備変更</t>
  </si>
  <si>
    <t>keine-parmit-status</t>
  </si>
  <si>
    <t>特性確認</t>
  </si>
  <si>
    <t>キャンセル</t>
  </si>
  <si>
    <t>keine-parmit-chancel</t>
  </si>
  <si>
    <t>単純な画像表示部品</t>
    <phoneticPr fontId="18"/>
  </si>
  <si>
    <t>#背景</t>
  </si>
  <si>
    <t>JSGAMECLGCommonWindow</t>
  </si>
  <si>
    <t>キャラステータス背景</t>
  </si>
  <si>
    <t>SYS-Character-Status_Window</t>
  </si>
  <si>
    <t>キャラステータス背景下</t>
  </si>
  <si>
    <t>SYS-Character-Status_Window2</t>
  </si>
  <si>
    <t>#上半分</t>
  </si>
  <si>
    <t>JSGAMECLGCommonText</t>
  </si>
  <si>
    <t>キャラ名</t>
  </si>
  <si>
    <t>SYS-Character-Status_Name</t>
  </si>
  <si>
    <t>ダミー</t>
  </si>
  <si>
    <t>middle</t>
  </si>
  <si>
    <t>キャラアイコン</t>
  </si>
  <si>
    <t>SYS-Character-Status_Icon</t>
  </si>
  <si>
    <t>dummy</t>
  </si>
  <si>
    <t>レベルラベル</t>
  </si>
  <si>
    <t>SYS-Character-Status_Level-Label</t>
  </si>
  <si>
    <t>レベル</t>
  </si>
  <si>
    <t>SYS-Character-Status_Level</t>
  </si>
  <si>
    <t>タイプアイコン</t>
  </si>
  <si>
    <t>SYS-Character-Status_Type-Icon</t>
  </si>
  <si>
    <t>SYS-Character-Status_Class-Name</t>
  </si>
  <si>
    <t>#下半分</t>
  </si>
  <si>
    <t>#値部品</t>
  </si>
  <si>
    <t>HP</t>
  </si>
  <si>
    <t>SYS-Character-Status_HP</t>
  </si>
  <si>
    <t>サン</t>
  </si>
  <si>
    <t>MP</t>
  </si>
  <si>
    <t>SYS-Character-Status_MP</t>
  </si>
  <si>
    <t>CAP</t>
  </si>
  <si>
    <t>SYS-Character-Status_CAP</t>
  </si>
  <si>
    <t>ATK</t>
  </si>
  <si>
    <t>SYS-Character-Status_ATK</t>
  </si>
  <si>
    <t>DEF</t>
  </si>
  <si>
    <t>SYS-Character-Status_DEF</t>
  </si>
  <si>
    <t>SPD</t>
  </si>
  <si>
    <t>SYS-Character-Status_SPD</t>
  </si>
  <si>
    <t>#ラベル部品</t>
  </si>
  <si>
    <t>HPラベル</t>
  </si>
  <si>
    <t>SYS-Character-Status_HP-Label</t>
  </si>
  <si>
    <t>HP :</t>
  </si>
  <si>
    <t>MPラベル</t>
  </si>
  <si>
    <t>SYS-Character-Status_MP-Label</t>
  </si>
  <si>
    <t>MP :</t>
  </si>
  <si>
    <t>CAPラベル</t>
  </si>
  <si>
    <t>SYS-Character-Status_CAP-Label</t>
  </si>
  <si>
    <t>CAP:</t>
  </si>
  <si>
    <t>ATKラベル</t>
  </si>
  <si>
    <t>SYS-Character-Status_ATK-Label</t>
  </si>
  <si>
    <t>ATK:</t>
  </si>
  <si>
    <t>DEFラベル</t>
  </si>
  <si>
    <t>SYS-Character-Status_DEF-Label</t>
  </si>
  <si>
    <t>DEF:</t>
  </si>
  <si>
    <t>SPDラベル</t>
  </si>
  <si>
    <t>SYS-Character-Status_SPD-Label</t>
  </si>
  <si>
    <t>SPD:</t>
  </si>
  <si>
    <t>SYS-ClassChange-Status_SPD-Label</t>
  </si>
  <si>
    <t>SYS-ClassChange-Status_DEF-Label</t>
  </si>
  <si>
    <t>SYS-ClassChange-Status_ATK-Label</t>
  </si>
  <si>
    <t>SYS-ClassChange-Status_CAP-Label</t>
  </si>
  <si>
    <t>SYS-ClassChange-Status_MP-Label</t>
  </si>
  <si>
    <t>SYS-ClassChange-Status_HP-Label</t>
  </si>
  <si>
    <t>SYS-ClassChange-Status_SPD</t>
  </si>
  <si>
    <t>SYS-ClassChange-Status_DEF</t>
  </si>
  <si>
    <t>SYS-ClassChange-Status_ATK</t>
  </si>
  <si>
    <t>SYS-ClassChange-Status_CAP</t>
  </si>
  <si>
    <t>SYS-ClassChange-Status_MP</t>
  </si>
  <si>
    <t>SYS-ClassChange-Status_HP</t>
  </si>
  <si>
    <t>SYS-ClassChange-Status_Class-Name</t>
  </si>
  <si>
    <t>SYS-ClassChange-Status_Type-Icon</t>
  </si>
  <si>
    <t>SYS-ClassChange-Status_Level</t>
  </si>
  <si>
    <t>SYS-ClassChange-Status_Level-Label</t>
  </si>
  <si>
    <t>SYS-ClassChange-Status_Icon</t>
  </si>
  <si>
    <t>SYS-ClassChange-Status_Name</t>
  </si>
  <si>
    <t>SYS-ClassChange-Status_Window2</t>
  </si>
  <si>
    <t>SYS-ClassChange-Status_Window</t>
  </si>
  <si>
    <t>サンプルテキスト</t>
  </si>
  <si>
    <t>SYS-Keine-Item-Ability_Notice</t>
  </si>
  <si>
    <t>特性説明</t>
  </si>
  <si>
    <t>SYS-Keine-Item-Ability_Name</t>
  </si>
  <si>
    <t>特性名前</t>
  </si>
  <si>
    <t>#特性説明</t>
  </si>
  <si>
    <t>SYS-Keine-Item-Ability_Window</t>
  </si>
  <si>
    <t>特性説明欄背景</t>
  </si>
  <si>
    <t>#特性説明欄</t>
  </si>
  <si>
    <t>SYS-Keine-Item-Text_Weight</t>
  </si>
  <si>
    <t>アイテム説明</t>
  </si>
  <si>
    <t>重さ：</t>
  </si>
  <si>
    <t>SYS-Keine-Item-Text_Weight-Label</t>
  </si>
  <si>
    <t>#アイテム重さ</t>
  </si>
  <si>
    <t>SYS-Keine-Item-Text_Info</t>
  </si>
  <si>
    <t>#アイテム説明</t>
  </si>
  <si>
    <t>SYS-Keine-Item-Text_Window</t>
  </si>
  <si>
    <t>アイテム説明欄背景</t>
  </si>
  <si>
    <t>#アイテム説明欄</t>
  </si>
  <si>
    <t>SYS-Member-Wepon_Wepon3</t>
  </si>
  <si>
    <t>SYS-Member-Wepon_Wepon2</t>
  </si>
  <si>
    <t>SYS-Member-Wepon_Wepon1</t>
  </si>
  <si>
    <t>SYS-Member-Wepon_Wepon-Window</t>
  </si>
  <si>
    <t>装備欄背景</t>
  </si>
  <si>
    <t>SYS-Keine-Wepon_SPD</t>
  </si>
  <si>
    <t>SYS-Keine-Wepon_DEF</t>
  </si>
  <si>
    <t>SYS-Keine-Wepon_ATK</t>
  </si>
  <si>
    <t>SYS-Keine-Wepon_CAP</t>
  </si>
  <si>
    <t>SYS-Keine-Wepon_MP</t>
  </si>
  <si>
    <t>SYS-Keine-Wepon_HP</t>
  </si>
  <si>
    <t>SPD:+</t>
  </si>
  <si>
    <t>SYS-Keine-Wepon_SPD-Label</t>
  </si>
  <si>
    <t>DEF:+</t>
  </si>
  <si>
    <t>SYS-Keine-Wepon_DEF-Label</t>
  </si>
  <si>
    <t>ATK:+</t>
  </si>
  <si>
    <t>SYS-Keine-Wepon_ATK-Label</t>
  </si>
  <si>
    <t>CAP:+</t>
  </si>
  <si>
    <t>SYS-Keine-Wepon_CAP-Label</t>
  </si>
  <si>
    <t>MP :+</t>
  </si>
  <si>
    <t>SYS-Keine-Wepon_MP-Label</t>
  </si>
  <si>
    <t>HP :+</t>
  </si>
  <si>
    <t>SYS-Keine-Wepon_HP-Label</t>
  </si>
  <si>
    <t>./data/img/common/window9x9.png</t>
  </si>
  <si>
    <t>SYS-Keine-Wepon_Window</t>
  </si>
  <si>
    <t>装備ステータス欄背景</t>
  </si>
  <si>
    <t>./data/img/common/window15x15.png</t>
    <phoneticPr fontId="18"/>
  </si>
  <si>
    <t>#装備ステータス＋の値</t>
    <rPh sb="1" eb="3">
      <t>ソウビ</t>
    </rPh>
    <rPh sb="10" eb="11">
      <t>アタイ</t>
    </rPh>
    <phoneticPr fontId="18"/>
  </si>
  <si>
    <t>#装備選択ウィンドウ</t>
    <rPh sb="3" eb="5">
      <t>センタク</t>
    </rPh>
    <phoneticPr fontId="18"/>
  </si>
  <si>
    <t>#クラスチェンジステータス</t>
    <phoneticPr fontId="18"/>
  </si>
  <si>
    <t>#装備選択中ステータス欄</t>
    <rPh sb="3" eb="6">
      <t>センタクチュウ</t>
    </rPh>
    <rPh sb="11" eb="12">
      <t>ラン</t>
    </rPh>
    <phoneticPr fontId="18"/>
  </si>
  <si>
    <t>画像総数</t>
    <rPh sb="0" eb="2">
      <t>ガゾウ</t>
    </rPh>
    <rPh sb="2" eb="4">
      <t>ソウスウ</t>
    </rPh>
    <phoneticPr fontId="18"/>
  </si>
  <si>
    <t>終了時自滅</t>
    <rPh sb="0" eb="2">
      <t>シュウリョウ</t>
    </rPh>
    <rPh sb="2" eb="3">
      <t>ジ</t>
    </rPh>
    <rPh sb="3" eb="5">
      <t>ジメツ</t>
    </rPh>
    <phoneticPr fontId="18"/>
  </si>
  <si>
    <t>いざ冒険の旅に出発！</t>
  </si>
  <si>
    <t>./data/img/village/ie.png</t>
  </si>
  <si>
    <t>ダンジョンへ</t>
  </si>
  <si>
    <t>./data/img/common/menu_elem3_long.png</t>
  </si>
  <si>
    <t>dungion</t>
  </si>
  <si>
    <t>冒険</t>
  </si>
  <si>
    <t>JSTOHOCLGVillageMainMenuElement</t>
  </si>
  <si>
    <t>セーブとかできたり</t>
  </si>
  <si>
    <t>王宮</t>
  </si>
  <si>
    <t>./data/img/common/menu_elem3_long_mono.png</t>
  </si>
  <si>
    <t>akyu</t>
  </si>
  <si>
    <t>阿求</t>
  </si>
  <si>
    <t>キャラクターの強化はこちらまで。</t>
  </si>
  <si>
    <t>keine</t>
  </si>
  <si>
    <t>慧音</t>
  </si>
  <si>
    <t>パーティ編成ができるぞ！</t>
  </si>
  <si>
    <t>BARハクタク</t>
  </si>
  <si>
    <t>reimu</t>
  </si>
  <si>
    <t>霊夢</t>
  </si>
  <si>
    <t>武器や防具のお買い求めはこちらまで！\n国内最大手のコーリンドーへようこそ！</t>
  </si>
  <si>
    <t>コーリンドー</t>
  </si>
  <si>
    <t>kourin</t>
  </si>
  <si>
    <t>香霖堂</t>
  </si>
  <si>
    <t>#メニュー一式</t>
  </si>
  <si>
    <t>どこへ行こうか？</t>
  </si>
  <si>
    <t>MainMenuText</t>
  </si>
  <si>
    <t>仮値</t>
  </si>
  <si>
    <t>コメント</t>
  </si>
  <si>
    <t>#テキストウィンドウ</t>
  </si>
  <si>
    <t>村</t>
  </si>
  <si>
    <t>VillageMenuTile</t>
  </si>
  <si>
    <t>#全景タイトル</t>
  </si>
  <si>
    <t>./data/img/village/map_back.png</t>
  </si>
  <si>
    <t>./data/img/village/sky.png</t>
  </si>
  <si>
    <t>back-sky</t>
  </si>
  <si>
    <t>村背景</t>
  </si>
  <si>
    <t>#村背景はダンジョン選択と共有するのでプログラムで制御</t>
  </si>
  <si>
    <t>#村背景</t>
  </si>
  <si>
    <t>dungionImage</t>
  </si>
  <si>
    <t>選択中ダンジョン画像</t>
  </si>
  <si>
    <t>#選択中ダンジョン画像</t>
  </si>
  <si>
    <t>dungionSelect-1</t>
  </si>
  <si>
    <t>サンプルダンジョン</t>
  </si>
  <si>
    <t>#ダンジョンリスト</t>
  </si>
  <si>
    <t>DungionMenuText</t>
  </si>
  <si>
    <t>#ダンジョン出発</t>
  </si>
  <si>
    <t>#JSGAMECLGCommonImage</t>
    <phoneticPr fontId="18"/>
  </si>
  <si>
    <t>./data/img/village/back_mini.png</t>
    <phoneticPr fontId="18"/>
  </si>
  <si>
    <t>裏山</t>
    <phoneticPr fontId="18"/>
  </si>
  <si>
    <t>#メニュー基準座標</t>
    <phoneticPr fontId="18"/>
  </si>
  <si>
    <t>ダンジョン背景ウィンドウ</t>
    <phoneticPr fontId="18"/>
  </si>
  <si>
    <t>　</t>
    <phoneticPr fontId="18"/>
  </si>
  <si>
    <t>JSGAMECLGCommonImage</t>
    <phoneticPr fontId="18"/>
  </si>
  <si>
    <t>./data/img/test/dungImage.png</t>
    <phoneticPr fontId="18"/>
  </si>
  <si>
    <t>#JSGAMECLGCommonWindow</t>
    <phoneticPr fontId="18"/>
  </si>
  <si>
    <t>JSGAMECLGCommonImage</t>
    <phoneticPr fontId="18"/>
  </si>
  <si>
    <t>./data/img/common/face_frame.pngX</t>
    <phoneticPr fontId="18"/>
  </si>
  <si>
    <t>./data/img/face/korin.pngX</t>
    <phoneticPr fontId="18"/>
  </si>
  <si>
    <t>#JSGAMECLGCommonAnimation</t>
    <phoneticPr fontId="18"/>
  </si>
  <si>
    <t>./data/img/village/ClassChange_OFF.png</t>
    <phoneticPr fontId="18"/>
  </si>
  <si>
    <t>./data/img/common/menu_wepon.png</t>
    <phoneticPr fontId="18"/>
  </si>
  <si>
    <t>./data/img/village/ClassChange_ON.png</t>
    <phoneticPr fontId="18"/>
  </si>
  <si>
    <t>SYS-Character-Status_Name-Label</t>
    <phoneticPr fontId="18"/>
  </si>
  <si>
    <t>SYS-Character-Status_Class-Name-Label</t>
    <phoneticPr fontId="18"/>
  </si>
  <si>
    <t>名前:</t>
  </si>
  <si>
    <t>名前:</t>
    <phoneticPr fontId="18"/>
  </si>
  <si>
    <t>　Lv:</t>
  </si>
  <si>
    <t>職業:</t>
  </si>
  <si>
    <t>職業:</t>
    <phoneticPr fontId="18"/>
  </si>
  <si>
    <t>種族-ラベル</t>
    <phoneticPr fontId="18"/>
  </si>
  <si>
    <t>種族</t>
    <phoneticPr fontId="18"/>
  </si>
  <si>
    <t>クラス名-ラベル</t>
    <phoneticPr fontId="18"/>
  </si>
  <si>
    <t>クラス名</t>
    <phoneticPr fontId="18"/>
  </si>
  <si>
    <t>キャラ名-ラベル</t>
    <phoneticPr fontId="18"/>
  </si>
  <si>
    <t>SYS-Character-Status_Type-Label</t>
    <phoneticPr fontId="18"/>
  </si>
  <si>
    <t>SYS-Character-Status_Type</t>
    <phoneticPr fontId="18"/>
  </si>
  <si>
    <t>種族:</t>
  </si>
  <si>
    <t>種族:</t>
    <phoneticPr fontId="18"/>
  </si>
  <si>
    <t>妖怪</t>
  </si>
  <si>
    <t>妖怪</t>
    <phoneticPr fontId="18"/>
  </si>
  <si>
    <t>SYS-ClassChange-Status_Name-Label</t>
  </si>
  <si>
    <t>SYS-ClassChange-Status_Class-Name-Label</t>
  </si>
  <si>
    <t>SYS-ClassChange-Status_Type-Label</t>
  </si>
  <si>
    <t>SYS-ClassChange-Status_Type</t>
  </si>
  <si>
    <t>Nextラベル</t>
    <phoneticPr fontId="18"/>
  </si>
  <si>
    <t>Next</t>
    <phoneticPr fontId="18"/>
  </si>
  <si>
    <t>SYS-Character-Status_Next-Label</t>
    <phoneticPr fontId="18"/>
  </si>
  <si>
    <t>SYS-Character-Status_Next</t>
    <phoneticPr fontId="18"/>
  </si>
  <si>
    <t>　Lv:</t>
    <phoneticPr fontId="18"/>
  </si>
  <si>
    <t>　Ex:</t>
    <phoneticPr fontId="18"/>
  </si>
  <si>
    <t>SYS-ClassChange-Status_Next-Label</t>
    <phoneticPr fontId="18"/>
  </si>
  <si>
    <t>SYS-ClassChange-Status_Next</t>
    <phoneticPr fontId="18"/>
  </si>
  <si>
    <t>教練所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</si>
</sst>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0" fillId="33" borderId="0" xfId="0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771525</xdr:colOff>
          <xdr:row>0</xdr:row>
          <xdr:rowOff>76200</xdr:rowOff>
        </xdr:from>
        <xdr:to>
          <xdr:col>3</xdr:col>
          <xdr:colOff>19050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0</xdr:row>
          <xdr:rowOff>76200</xdr:rowOff>
        </xdr:from>
        <xdr:to>
          <xdr:col>6</xdr:col>
          <xdr:colOff>114300</xdr:colOff>
          <xdr:row>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76200</xdr:rowOff>
        </xdr:from>
        <xdr:to>
          <xdr:col>6</xdr:col>
          <xdr:colOff>9525</xdr:colOff>
          <xdr:row>2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76200</xdr:rowOff>
        </xdr:from>
        <xdr:to>
          <xdr:col>5</xdr:col>
          <xdr:colOff>9525</xdr:colOff>
          <xdr:row>2</xdr:row>
          <xdr:rowOff>28575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76200</xdr:rowOff>
        </xdr:from>
        <xdr:to>
          <xdr:col>5</xdr:col>
          <xdr:colOff>9525</xdr:colOff>
          <xdr:row>2</xdr:row>
          <xdr:rowOff>28575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76200</xdr:rowOff>
        </xdr:from>
        <xdr:to>
          <xdr:col>5</xdr:col>
          <xdr:colOff>9525</xdr:colOff>
          <xdr:row>2</xdr:row>
          <xdr:rowOff>28575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76200</xdr:rowOff>
        </xdr:from>
        <xdr:to>
          <xdr:col>6</xdr:col>
          <xdr:colOff>9525</xdr:colOff>
          <xdr:row>2</xdr:row>
          <xdr:rowOff>28575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27</xdr:row>
          <xdr:rowOff>85725</xdr:rowOff>
        </xdr:from>
        <xdr:to>
          <xdr:col>13</xdr:col>
          <xdr:colOff>219075</xdr:colOff>
          <xdr:row>29</xdr:row>
          <xdr:rowOff>38100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14</xdr:row>
          <xdr:rowOff>66675</xdr:rowOff>
        </xdr:from>
        <xdr:to>
          <xdr:col>11</xdr:col>
          <xdr:colOff>447675</xdr:colOff>
          <xdr:row>16</xdr:row>
          <xdr:rowOff>19050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66"/>
  <sheetViews>
    <sheetView zoomScaleNormal="100" workbookViewId="0">
      <selection activeCell="D21" sqref="D21"/>
    </sheetView>
  </sheetViews>
  <sheetFormatPr defaultColWidth="10" defaultRowHeight="13.5" x14ac:dyDescent="0.15"/>
  <cols>
    <col min="1" max="1" width="11.25" customWidth="1"/>
    <col min="2" max="2" width="34.125" customWidth="1"/>
    <col min="3" max="3" width="21" customWidth="1"/>
    <col min="6" max="6" width="14.5" customWidth="1"/>
  </cols>
  <sheetData>
    <row r="1" spans="1:18" x14ac:dyDescent="0.15">
      <c r="A1" t="s">
        <v>0</v>
      </c>
    </row>
    <row r="2" spans="1:18" x14ac:dyDescent="0.15">
      <c r="A2" t="s">
        <v>1</v>
      </c>
    </row>
    <row r="3" spans="1:18" x14ac:dyDescent="0.15">
      <c r="A3" t="s">
        <v>2</v>
      </c>
    </row>
    <row r="4" spans="1:18" x14ac:dyDescent="0.15">
      <c r="A4" t="s">
        <v>3</v>
      </c>
      <c r="B4" t="s">
        <v>4</v>
      </c>
      <c r="C4" t="s">
        <v>5</v>
      </c>
      <c r="D4">
        <v>8100</v>
      </c>
      <c r="E4" t="b">
        <v>1</v>
      </c>
      <c r="F4" t="s">
        <v>6</v>
      </c>
      <c r="G4">
        <v>20</v>
      </c>
      <c r="H4">
        <v>20</v>
      </c>
      <c r="I4">
        <v>10</v>
      </c>
      <c r="J4">
        <v>10</v>
      </c>
      <c r="K4">
        <v>450</v>
      </c>
      <c r="L4">
        <v>50</v>
      </c>
      <c r="M4">
        <v>25</v>
      </c>
      <c r="N4">
        <v>3</v>
      </c>
      <c r="O4" t="s">
        <v>7</v>
      </c>
      <c r="P4" t="s">
        <v>8</v>
      </c>
      <c r="Q4" t="s">
        <v>9</v>
      </c>
      <c r="R4" t="s">
        <v>10</v>
      </c>
    </row>
    <row r="5" spans="1:18" x14ac:dyDescent="0.15">
      <c r="A5" t="s">
        <v>11</v>
      </c>
      <c r="B5" t="s">
        <v>12</v>
      </c>
      <c r="C5" t="s">
        <v>13</v>
      </c>
      <c r="D5">
        <v>99</v>
      </c>
      <c r="E5" t="b">
        <v>1</v>
      </c>
      <c r="F5" t="s">
        <v>14</v>
      </c>
      <c r="G5">
        <v>640</v>
      </c>
      <c r="H5">
        <v>480</v>
      </c>
      <c r="I5">
        <v>0</v>
      </c>
      <c r="J5">
        <v>0</v>
      </c>
    </row>
    <row r="6" spans="1:18" x14ac:dyDescent="0.15">
      <c r="A6" t="s">
        <v>312</v>
      </c>
      <c r="B6" t="s">
        <v>15</v>
      </c>
      <c r="C6" t="s">
        <v>16</v>
      </c>
      <c r="D6">
        <v>8100</v>
      </c>
      <c r="E6" t="b">
        <v>1</v>
      </c>
      <c r="F6" t="s">
        <v>313</v>
      </c>
      <c r="G6">
        <v>120</v>
      </c>
      <c r="H6">
        <v>120</v>
      </c>
      <c r="I6">
        <v>510</v>
      </c>
      <c r="J6">
        <v>10</v>
      </c>
    </row>
    <row r="7" spans="1:18" x14ac:dyDescent="0.15">
      <c r="A7" t="s">
        <v>11</v>
      </c>
      <c r="B7" t="s">
        <v>15</v>
      </c>
      <c r="C7" t="s">
        <v>18</v>
      </c>
      <c r="D7">
        <v>8101</v>
      </c>
      <c r="E7" t="b">
        <v>1</v>
      </c>
      <c r="F7" t="s">
        <v>314</v>
      </c>
      <c r="G7">
        <v>100</v>
      </c>
      <c r="H7">
        <v>100</v>
      </c>
      <c r="I7">
        <v>520</v>
      </c>
      <c r="J7">
        <v>20</v>
      </c>
    </row>
    <row r="9" spans="1:18" x14ac:dyDescent="0.15">
      <c r="A9" t="s">
        <v>19</v>
      </c>
      <c r="B9" t="s">
        <v>128</v>
      </c>
      <c r="C9" t="s">
        <v>20</v>
      </c>
      <c r="D9" t="s">
        <v>21</v>
      </c>
      <c r="E9" t="s">
        <v>22</v>
      </c>
      <c r="F9" t="s">
        <v>23</v>
      </c>
      <c r="G9" t="s">
        <v>24</v>
      </c>
      <c r="H9" t="s">
        <v>25</v>
      </c>
      <c r="I9" t="s">
        <v>26</v>
      </c>
      <c r="J9" t="s">
        <v>27</v>
      </c>
    </row>
    <row r="10" spans="1:18" x14ac:dyDescent="0.15">
      <c r="A10" t="s">
        <v>19</v>
      </c>
      <c r="B10" t="s">
        <v>28</v>
      </c>
      <c r="C10" t="s">
        <v>29</v>
      </c>
      <c r="D10">
        <v>4</v>
      </c>
      <c r="E10" t="b">
        <v>1</v>
      </c>
      <c r="F10" t="s">
        <v>30</v>
      </c>
      <c r="G10">
        <v>288</v>
      </c>
      <c r="H10">
        <v>155</v>
      </c>
      <c r="I10">
        <v>322</v>
      </c>
      <c r="J10">
        <v>216</v>
      </c>
    </row>
    <row r="12" spans="1:18" x14ac:dyDescent="0.15">
      <c r="A12" t="s">
        <v>31</v>
      </c>
    </row>
    <row r="13" spans="1:18" x14ac:dyDescent="0.15">
      <c r="A13" t="s">
        <v>32</v>
      </c>
    </row>
    <row r="14" spans="1:18" x14ac:dyDescent="0.15">
      <c r="A14" t="s">
        <v>33</v>
      </c>
      <c r="B14" t="s">
        <v>34</v>
      </c>
      <c r="C14" t="s">
        <v>20</v>
      </c>
      <c r="D14" t="s">
        <v>21</v>
      </c>
      <c r="E14" t="s">
        <v>22</v>
      </c>
      <c r="F14" t="s">
        <v>23</v>
      </c>
      <c r="G14" t="s">
        <v>24</v>
      </c>
      <c r="H14" t="s">
        <v>25</v>
      </c>
      <c r="I14" t="s">
        <v>26</v>
      </c>
      <c r="J14" t="s">
        <v>27</v>
      </c>
      <c r="K14" t="s">
        <v>35</v>
      </c>
      <c r="L14" t="s">
        <v>36</v>
      </c>
      <c r="M14" t="s">
        <v>37</v>
      </c>
      <c r="N14" t="s">
        <v>8</v>
      </c>
      <c r="O14" t="s">
        <v>9</v>
      </c>
      <c r="P14" t="s">
        <v>10</v>
      </c>
    </row>
    <row r="15" spans="1:18" x14ac:dyDescent="0.15">
      <c r="A15" t="s">
        <v>38</v>
      </c>
      <c r="B15" t="s">
        <v>39</v>
      </c>
      <c r="C15" t="s">
        <v>40</v>
      </c>
      <c r="D15">
        <v>8200</v>
      </c>
      <c r="E15" t="b">
        <v>1</v>
      </c>
      <c r="F15" t="s">
        <v>41</v>
      </c>
      <c r="G15">
        <v>48</v>
      </c>
      <c r="H15">
        <v>30</v>
      </c>
      <c r="I15">
        <f>O21+(G21/2)-(G15/2)</f>
        <v>425</v>
      </c>
      <c r="J15">
        <f>P21-H15</f>
        <v>151</v>
      </c>
      <c r="K15" t="s">
        <v>42</v>
      </c>
      <c r="L15">
        <v>0</v>
      </c>
      <c r="M15">
        <v>0</v>
      </c>
      <c r="N15" t="s">
        <v>8</v>
      </c>
      <c r="O15" t="s">
        <v>9</v>
      </c>
      <c r="P15" t="s">
        <v>10</v>
      </c>
    </row>
    <row r="16" spans="1:18" x14ac:dyDescent="0.15">
      <c r="A16" t="s">
        <v>38</v>
      </c>
      <c r="B16" t="s">
        <v>43</v>
      </c>
      <c r="C16" t="s">
        <v>44</v>
      </c>
      <c r="D16">
        <v>8200</v>
      </c>
      <c r="E16" t="b">
        <v>1</v>
      </c>
      <c r="F16" t="s">
        <v>41</v>
      </c>
      <c r="G16">
        <v>48</v>
      </c>
      <c r="H16">
        <v>30</v>
      </c>
      <c r="I16">
        <f>O22+(G22/2)-(G16/2)</f>
        <v>473</v>
      </c>
      <c r="J16">
        <f>P22-H16</f>
        <v>200</v>
      </c>
      <c r="K16" t="s">
        <v>42</v>
      </c>
      <c r="L16">
        <v>0</v>
      </c>
      <c r="M16">
        <v>0</v>
      </c>
      <c r="N16" t="s">
        <v>8</v>
      </c>
      <c r="O16" t="s">
        <v>9</v>
      </c>
      <c r="P16" t="s">
        <v>10</v>
      </c>
    </row>
    <row r="17" spans="1:16" x14ac:dyDescent="0.15">
      <c r="A17" t="s">
        <v>38</v>
      </c>
      <c r="B17" t="s">
        <v>45</v>
      </c>
      <c r="C17" t="s">
        <v>46</v>
      </c>
      <c r="D17">
        <v>8200</v>
      </c>
      <c r="E17" t="b">
        <v>1</v>
      </c>
      <c r="F17" t="s">
        <v>41</v>
      </c>
      <c r="G17">
        <v>48</v>
      </c>
      <c r="H17">
        <v>30</v>
      </c>
      <c r="I17">
        <f>O23+(G23/2)-(G17/2)</f>
        <v>425</v>
      </c>
      <c r="J17">
        <f>P23-H17</f>
        <v>251</v>
      </c>
      <c r="K17" t="s">
        <v>42</v>
      </c>
      <c r="L17">
        <v>0</v>
      </c>
      <c r="M17">
        <v>0</v>
      </c>
      <c r="N17" t="s">
        <v>8</v>
      </c>
      <c r="O17" t="s">
        <v>9</v>
      </c>
      <c r="P17" t="s">
        <v>10</v>
      </c>
    </row>
    <row r="18" spans="1:16" x14ac:dyDescent="0.15">
      <c r="A18" t="s">
        <v>38</v>
      </c>
      <c r="B18" t="s">
        <v>47</v>
      </c>
      <c r="C18" t="s">
        <v>48</v>
      </c>
      <c r="D18">
        <v>8200</v>
      </c>
      <c r="E18" t="b">
        <v>1</v>
      </c>
      <c r="F18" t="s">
        <v>41</v>
      </c>
      <c r="G18">
        <v>48</v>
      </c>
      <c r="H18">
        <v>30</v>
      </c>
      <c r="I18">
        <f>O24+(G24/2)-(G18/2)</f>
        <v>375</v>
      </c>
      <c r="J18">
        <f>P24-H18</f>
        <v>201</v>
      </c>
      <c r="K18" t="s">
        <v>42</v>
      </c>
      <c r="L18">
        <v>0</v>
      </c>
      <c r="M18">
        <v>0</v>
      </c>
      <c r="N18" t="s">
        <v>8</v>
      </c>
      <c r="O18" t="s">
        <v>9</v>
      </c>
      <c r="P18" t="s">
        <v>10</v>
      </c>
    </row>
    <row r="19" spans="1:16" x14ac:dyDescent="0.15">
      <c r="A19" t="s">
        <v>49</v>
      </c>
    </row>
    <row r="20" spans="1:16" x14ac:dyDescent="0.15">
      <c r="A20" t="s">
        <v>50</v>
      </c>
      <c r="B20" t="s">
        <v>51</v>
      </c>
      <c r="C20" t="s">
        <v>20</v>
      </c>
      <c r="D20" t="s">
        <v>21</v>
      </c>
      <c r="E20" t="s">
        <v>22</v>
      </c>
      <c r="F20" t="s">
        <v>23</v>
      </c>
      <c r="G20" t="s">
        <v>24</v>
      </c>
      <c r="H20" t="s">
        <v>25</v>
      </c>
      <c r="I20" t="s">
        <v>52</v>
      </c>
      <c r="J20" t="s">
        <v>53</v>
      </c>
      <c r="K20" t="s">
        <v>255</v>
      </c>
      <c r="L20" t="s">
        <v>54</v>
      </c>
      <c r="M20" t="s">
        <v>55</v>
      </c>
      <c r="N20" t="s">
        <v>256</v>
      </c>
      <c r="O20" t="s">
        <v>26</v>
      </c>
      <c r="P20" t="s">
        <v>27</v>
      </c>
    </row>
    <row r="21" spans="1:16" x14ac:dyDescent="0.15">
      <c r="A21" t="s">
        <v>56</v>
      </c>
      <c r="B21" t="s">
        <v>39</v>
      </c>
      <c r="C21" t="s">
        <v>57</v>
      </c>
      <c r="D21">
        <v>8100</v>
      </c>
      <c r="E21" t="b">
        <v>1</v>
      </c>
      <c r="F21" t="s">
        <v>58</v>
      </c>
      <c r="G21">
        <v>64</v>
      </c>
      <c r="H21">
        <v>64</v>
      </c>
      <c r="I21">
        <v>8</v>
      </c>
      <c r="J21">
        <v>1</v>
      </c>
      <c r="K21">
        <v>8</v>
      </c>
      <c r="L21">
        <v>5</v>
      </c>
      <c r="M21" t="b">
        <v>1</v>
      </c>
      <c r="N21" t="b">
        <v>0</v>
      </c>
      <c r="O21">
        <v>417</v>
      </c>
      <c r="P21">
        <v>181</v>
      </c>
    </row>
    <row r="22" spans="1:16" x14ac:dyDescent="0.15">
      <c r="A22" t="s">
        <v>56</v>
      </c>
      <c r="B22" t="s">
        <v>43</v>
      </c>
      <c r="C22" t="s">
        <v>59</v>
      </c>
      <c r="D22">
        <v>8100</v>
      </c>
      <c r="E22" t="b">
        <v>1</v>
      </c>
      <c r="F22" t="s">
        <v>58</v>
      </c>
      <c r="G22">
        <v>64</v>
      </c>
      <c r="H22">
        <v>64</v>
      </c>
      <c r="I22">
        <v>8</v>
      </c>
      <c r="J22">
        <v>1</v>
      </c>
      <c r="K22">
        <v>8</v>
      </c>
      <c r="L22">
        <v>5</v>
      </c>
      <c r="M22" t="b">
        <v>1</v>
      </c>
      <c r="N22" t="b">
        <v>0</v>
      </c>
      <c r="O22">
        <v>465</v>
      </c>
      <c r="P22">
        <v>230</v>
      </c>
    </row>
    <row r="23" spans="1:16" x14ac:dyDescent="0.15">
      <c r="A23" t="s">
        <v>56</v>
      </c>
      <c r="B23" t="s">
        <v>45</v>
      </c>
      <c r="C23" t="s">
        <v>60</v>
      </c>
      <c r="D23">
        <v>8100</v>
      </c>
      <c r="E23" t="b">
        <v>1</v>
      </c>
      <c r="F23" t="s">
        <v>58</v>
      </c>
      <c r="G23">
        <v>64</v>
      </c>
      <c r="H23">
        <v>64</v>
      </c>
      <c r="I23">
        <v>8</v>
      </c>
      <c r="J23">
        <v>1</v>
      </c>
      <c r="K23">
        <v>8</v>
      </c>
      <c r="L23">
        <v>5</v>
      </c>
      <c r="M23" t="b">
        <v>1</v>
      </c>
      <c r="N23" t="b">
        <v>0</v>
      </c>
      <c r="O23">
        <v>417</v>
      </c>
      <c r="P23">
        <v>281</v>
      </c>
    </row>
    <row r="24" spans="1:16" x14ac:dyDescent="0.15">
      <c r="A24" t="s">
        <v>56</v>
      </c>
      <c r="B24" t="s">
        <v>47</v>
      </c>
      <c r="C24" t="s">
        <v>61</v>
      </c>
      <c r="D24">
        <v>8100</v>
      </c>
      <c r="E24" t="b">
        <v>1</v>
      </c>
      <c r="F24" t="s">
        <v>58</v>
      </c>
      <c r="G24">
        <v>64</v>
      </c>
      <c r="H24">
        <v>64</v>
      </c>
      <c r="I24">
        <v>8</v>
      </c>
      <c r="J24">
        <v>1</v>
      </c>
      <c r="K24">
        <v>8</v>
      </c>
      <c r="L24">
        <v>5</v>
      </c>
      <c r="M24" t="b">
        <v>1</v>
      </c>
      <c r="N24" t="b">
        <v>0</v>
      </c>
      <c r="O24">
        <v>367</v>
      </c>
      <c r="P24">
        <v>231</v>
      </c>
    </row>
    <row r="25" spans="1:16" x14ac:dyDescent="0.15">
      <c r="A25" t="s">
        <v>315</v>
      </c>
      <c r="B25" t="s">
        <v>62</v>
      </c>
      <c r="C25" t="s">
        <v>63</v>
      </c>
      <c r="D25">
        <v>8100</v>
      </c>
      <c r="E25" t="b">
        <v>1</v>
      </c>
      <c r="F25" t="s">
        <v>58</v>
      </c>
      <c r="G25">
        <v>64</v>
      </c>
      <c r="H25">
        <v>64</v>
      </c>
      <c r="I25">
        <v>8</v>
      </c>
      <c r="J25">
        <v>1</v>
      </c>
      <c r="K25">
        <v>8</v>
      </c>
      <c r="L25">
        <v>5</v>
      </c>
      <c r="M25" t="b">
        <v>1</v>
      </c>
      <c r="N25" t="b">
        <v>0</v>
      </c>
      <c r="O25">
        <v>560</v>
      </c>
      <c r="P25">
        <v>230</v>
      </c>
    </row>
    <row r="27" spans="1:16" x14ac:dyDescent="0.15">
      <c r="A27" t="s">
        <v>64</v>
      </c>
    </row>
    <row r="28" spans="1:16" x14ac:dyDescent="0.15">
      <c r="A28" t="s">
        <v>65</v>
      </c>
      <c r="B28" t="s">
        <v>66</v>
      </c>
      <c r="C28" t="s">
        <v>20</v>
      </c>
      <c r="D28" t="s">
        <v>21</v>
      </c>
      <c r="E28" t="s">
        <v>22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K28" t="s">
        <v>67</v>
      </c>
      <c r="L28" t="s">
        <v>68</v>
      </c>
      <c r="M28" t="s">
        <v>69</v>
      </c>
      <c r="N28" t="s">
        <v>70</v>
      </c>
      <c r="O28" t="s">
        <v>71</v>
      </c>
    </row>
    <row r="29" spans="1:16" x14ac:dyDescent="0.15">
      <c r="A29" t="s">
        <v>11</v>
      </c>
      <c r="B29" t="s">
        <v>72</v>
      </c>
      <c r="C29" t="s">
        <v>73</v>
      </c>
      <c r="D29">
        <v>8300</v>
      </c>
      <c r="E29" t="b">
        <v>1</v>
      </c>
      <c r="F29" t="s">
        <v>316</v>
      </c>
      <c r="G29">
        <v>136</v>
      </c>
      <c r="H29">
        <v>29</v>
      </c>
      <c r="I29">
        <v>10</v>
      </c>
      <c r="J29">
        <v>266</v>
      </c>
    </row>
    <row r="31" spans="1:16" x14ac:dyDescent="0.15">
      <c r="A31" t="s">
        <v>74</v>
      </c>
    </row>
    <row r="32" spans="1:16" x14ac:dyDescent="0.15">
      <c r="A32" t="s">
        <v>33</v>
      </c>
      <c r="B32" t="s">
        <v>34</v>
      </c>
      <c r="C32" t="s">
        <v>20</v>
      </c>
      <c r="D32" t="s">
        <v>21</v>
      </c>
      <c r="E32" t="s">
        <v>22</v>
      </c>
      <c r="F32" t="s">
        <v>23</v>
      </c>
      <c r="G32" t="s">
        <v>24</v>
      </c>
      <c r="H32" t="s">
        <v>25</v>
      </c>
      <c r="I32" t="s">
        <v>26</v>
      </c>
      <c r="J32" t="s">
        <v>27</v>
      </c>
      <c r="K32" t="s">
        <v>35</v>
      </c>
      <c r="L32" t="s">
        <v>36</v>
      </c>
      <c r="M32" t="s">
        <v>37</v>
      </c>
      <c r="N32" t="s">
        <v>8</v>
      </c>
      <c r="O32" t="s">
        <v>9</v>
      </c>
      <c r="P32" t="s">
        <v>10</v>
      </c>
    </row>
    <row r="33" spans="1:25" x14ac:dyDescent="0.15">
      <c r="A33" t="s">
        <v>38</v>
      </c>
      <c r="B33" t="s">
        <v>75</v>
      </c>
      <c r="C33" t="s">
        <v>76</v>
      </c>
      <c r="D33">
        <v>8301</v>
      </c>
      <c r="E33" t="b">
        <v>0</v>
      </c>
      <c r="F33" t="s">
        <v>318</v>
      </c>
      <c r="G33">
        <v>136</v>
      </c>
      <c r="H33">
        <v>29</v>
      </c>
      <c r="I33">
        <v>10</v>
      </c>
      <c r="J33">
        <v>266</v>
      </c>
      <c r="K33" t="s">
        <v>42</v>
      </c>
      <c r="L33">
        <v>0</v>
      </c>
      <c r="M33">
        <v>0</v>
      </c>
      <c r="N33" t="s">
        <v>8</v>
      </c>
      <c r="O33" t="s">
        <v>9</v>
      </c>
      <c r="P33" t="s">
        <v>10</v>
      </c>
    </row>
    <row r="34" spans="1:25" x14ac:dyDescent="0.15">
      <c r="A34" t="s">
        <v>38</v>
      </c>
      <c r="B34" t="s">
        <v>78</v>
      </c>
      <c r="C34" t="s">
        <v>79</v>
      </c>
      <c r="D34">
        <v>8200</v>
      </c>
      <c r="E34" t="b">
        <v>0</v>
      </c>
      <c r="F34" t="s">
        <v>317</v>
      </c>
      <c r="G34">
        <v>246</v>
      </c>
      <c r="H34">
        <v>20</v>
      </c>
      <c r="I34">
        <v>15</v>
      </c>
      <c r="J34">
        <v>311</v>
      </c>
      <c r="K34" t="s">
        <v>42</v>
      </c>
      <c r="L34">
        <v>0</v>
      </c>
      <c r="M34">
        <v>0</v>
      </c>
      <c r="N34" t="s">
        <v>8</v>
      </c>
      <c r="O34" t="s">
        <v>9</v>
      </c>
      <c r="P34" t="s">
        <v>10</v>
      </c>
    </row>
    <row r="35" spans="1:25" x14ac:dyDescent="0.15">
      <c r="A35" t="s">
        <v>38</v>
      </c>
      <c r="B35" t="s">
        <v>80</v>
      </c>
      <c r="C35" t="s">
        <v>81</v>
      </c>
      <c r="D35">
        <v>8200</v>
      </c>
      <c r="E35" t="b">
        <v>0</v>
      </c>
      <c r="F35" t="s">
        <v>77</v>
      </c>
      <c r="G35">
        <v>246</v>
      </c>
      <c r="H35">
        <v>20</v>
      </c>
      <c r="I35">
        <v>15</v>
      </c>
      <c r="J35">
        <v>328</v>
      </c>
      <c r="K35" t="s">
        <v>42</v>
      </c>
      <c r="L35">
        <v>0</v>
      </c>
      <c r="M35">
        <v>0</v>
      </c>
      <c r="N35" t="s">
        <v>8</v>
      </c>
      <c r="O35" t="s">
        <v>9</v>
      </c>
      <c r="P35" t="s">
        <v>10</v>
      </c>
      <c r="R35">
        <v>17</v>
      </c>
    </row>
    <row r="36" spans="1:25" x14ac:dyDescent="0.15">
      <c r="A36" t="s">
        <v>38</v>
      </c>
      <c r="B36" t="s">
        <v>82</v>
      </c>
      <c r="C36" t="s">
        <v>83</v>
      </c>
      <c r="D36">
        <v>8200</v>
      </c>
      <c r="E36" t="b">
        <v>0</v>
      </c>
      <c r="F36" t="s">
        <v>77</v>
      </c>
      <c r="G36">
        <v>246</v>
      </c>
      <c r="H36">
        <v>20</v>
      </c>
      <c r="I36">
        <v>15</v>
      </c>
      <c r="J36">
        <v>345</v>
      </c>
      <c r="K36" t="s">
        <v>42</v>
      </c>
      <c r="L36">
        <v>0</v>
      </c>
      <c r="M36">
        <v>0</v>
      </c>
      <c r="N36" t="s">
        <v>8</v>
      </c>
      <c r="O36" t="s">
        <v>9</v>
      </c>
      <c r="P36" t="s">
        <v>10</v>
      </c>
      <c r="R36">
        <v>17</v>
      </c>
    </row>
    <row r="38" spans="1:25" x14ac:dyDescent="0.15">
      <c r="A38" t="s">
        <v>84</v>
      </c>
    </row>
    <row r="40" spans="1:25" x14ac:dyDescent="0.15">
      <c r="A40" t="s">
        <v>85</v>
      </c>
    </row>
    <row r="41" spans="1:25" x14ac:dyDescent="0.15">
      <c r="A41" t="s">
        <v>86</v>
      </c>
      <c r="B41" t="s">
        <v>87</v>
      </c>
      <c r="C41" t="s">
        <v>20</v>
      </c>
      <c r="D41" t="s">
        <v>21</v>
      </c>
      <c r="E41" t="s">
        <v>22</v>
      </c>
      <c r="F41" t="s">
        <v>88</v>
      </c>
      <c r="G41" t="s">
        <v>89</v>
      </c>
      <c r="H41" t="s">
        <v>90</v>
      </c>
      <c r="I41" t="s">
        <v>26</v>
      </c>
      <c r="J41" t="s">
        <v>27</v>
      </c>
      <c r="K41" t="s">
        <v>69</v>
      </c>
      <c r="L41" t="s">
        <v>70</v>
      </c>
      <c r="M41" t="s">
        <v>91</v>
      </c>
      <c r="N41" t="s">
        <v>92</v>
      </c>
      <c r="O41" t="s">
        <v>93</v>
      </c>
      <c r="P41" t="s">
        <v>94</v>
      </c>
      <c r="Q41" t="s">
        <v>95</v>
      </c>
      <c r="R41" t="s">
        <v>96</v>
      </c>
      <c r="S41" t="s">
        <v>97</v>
      </c>
      <c r="T41" t="s">
        <v>98</v>
      </c>
      <c r="U41" t="s">
        <v>99</v>
      </c>
      <c r="V41" t="s">
        <v>100</v>
      </c>
      <c r="W41" t="s">
        <v>101</v>
      </c>
    </row>
    <row r="42" spans="1:25" x14ac:dyDescent="0.15">
      <c r="A42" t="s">
        <v>102</v>
      </c>
      <c r="B42" t="s">
        <v>103</v>
      </c>
      <c r="C42" t="s">
        <v>104</v>
      </c>
      <c r="D42">
        <v>8200</v>
      </c>
      <c r="E42" t="b">
        <v>0</v>
      </c>
      <c r="F42" t="s">
        <v>105</v>
      </c>
      <c r="G42">
        <v>15</v>
      </c>
      <c r="H42">
        <v>15</v>
      </c>
      <c r="I42">
        <v>315</v>
      </c>
      <c r="J42">
        <v>140</v>
      </c>
      <c r="K42">
        <v>12</v>
      </c>
      <c r="L42">
        <v>14</v>
      </c>
      <c r="M42">
        <v>290</v>
      </c>
      <c r="N42">
        <v>215</v>
      </c>
      <c r="O42" t="s">
        <v>106</v>
      </c>
      <c r="P42">
        <v>290</v>
      </c>
      <c r="Q42">
        <v>25</v>
      </c>
      <c r="R42" t="s">
        <v>107</v>
      </c>
      <c r="S42">
        <v>311</v>
      </c>
      <c r="T42">
        <v>16</v>
      </c>
      <c r="U42" t="s">
        <v>8</v>
      </c>
      <c r="V42">
        <v>0</v>
      </c>
      <c r="W42">
        <v>5</v>
      </c>
      <c r="X42" t="s">
        <v>9</v>
      </c>
      <c r="Y42" t="s">
        <v>10</v>
      </c>
    </row>
    <row r="44" spans="1:25" x14ac:dyDescent="0.15">
      <c r="A44" t="s">
        <v>108</v>
      </c>
    </row>
    <row r="46" spans="1:25" x14ac:dyDescent="0.15">
      <c r="A46" t="s">
        <v>109</v>
      </c>
    </row>
    <row r="48" spans="1:25" x14ac:dyDescent="0.15">
      <c r="A48" t="s">
        <v>33</v>
      </c>
      <c r="B48" t="s">
        <v>34</v>
      </c>
      <c r="C48" t="s">
        <v>20</v>
      </c>
      <c r="D48" t="s">
        <v>21</v>
      </c>
      <c r="E48" t="s">
        <v>22</v>
      </c>
      <c r="F48" t="s">
        <v>23</v>
      </c>
      <c r="G48" t="s">
        <v>24</v>
      </c>
      <c r="H48" t="s">
        <v>25</v>
      </c>
      <c r="I48" t="s">
        <v>26</v>
      </c>
      <c r="J48" t="s">
        <v>27</v>
      </c>
      <c r="K48" t="s">
        <v>35</v>
      </c>
      <c r="L48" t="s">
        <v>36</v>
      </c>
      <c r="M48" t="s">
        <v>37</v>
      </c>
      <c r="N48" t="s">
        <v>8</v>
      </c>
      <c r="O48" t="s">
        <v>9</v>
      </c>
      <c r="P48" t="s">
        <v>10</v>
      </c>
    </row>
    <row r="49" spans="1:16" x14ac:dyDescent="0.15">
      <c r="A49" t="s">
        <v>38</v>
      </c>
      <c r="B49" t="s">
        <v>110</v>
      </c>
      <c r="C49" t="s">
        <v>111</v>
      </c>
      <c r="D49">
        <v>8100</v>
      </c>
      <c r="E49" t="b">
        <v>0</v>
      </c>
      <c r="F49" t="s">
        <v>41</v>
      </c>
      <c r="G49">
        <v>48</v>
      </c>
      <c r="H49">
        <v>30</v>
      </c>
      <c r="I49">
        <f>O52+(G52/2)-G49/2</f>
        <v>425</v>
      </c>
      <c r="J49">
        <f>P52-H49</f>
        <v>140</v>
      </c>
      <c r="K49" t="s">
        <v>42</v>
      </c>
      <c r="L49">
        <v>0</v>
      </c>
      <c r="M49">
        <v>0</v>
      </c>
      <c r="N49" t="s">
        <v>8</v>
      </c>
      <c r="O49" t="s">
        <v>9</v>
      </c>
      <c r="P49" t="s">
        <v>10</v>
      </c>
    </row>
    <row r="51" spans="1:16" x14ac:dyDescent="0.15">
      <c r="A51" t="s">
        <v>50</v>
      </c>
      <c r="B51" t="s">
        <v>51</v>
      </c>
      <c r="C51" t="s">
        <v>20</v>
      </c>
      <c r="D51" t="s">
        <v>21</v>
      </c>
      <c r="E51" t="s">
        <v>22</v>
      </c>
      <c r="F51" t="s">
        <v>23</v>
      </c>
      <c r="G51" t="s">
        <v>24</v>
      </c>
      <c r="H51" t="s">
        <v>25</v>
      </c>
      <c r="I51" t="s">
        <v>52</v>
      </c>
      <c r="J51" t="s">
        <v>53</v>
      </c>
      <c r="K51" t="s">
        <v>255</v>
      </c>
      <c r="L51" t="s">
        <v>54</v>
      </c>
      <c r="M51" t="s">
        <v>55</v>
      </c>
      <c r="N51" t="s">
        <v>256</v>
      </c>
      <c r="O51" t="s">
        <v>26</v>
      </c>
      <c r="P51" t="s">
        <v>27</v>
      </c>
    </row>
    <row r="52" spans="1:16" x14ac:dyDescent="0.15">
      <c r="A52" t="s">
        <v>56</v>
      </c>
      <c r="B52" t="s">
        <v>112</v>
      </c>
      <c r="C52" t="s">
        <v>113</v>
      </c>
      <c r="D52">
        <v>8200</v>
      </c>
      <c r="E52" t="b">
        <v>0</v>
      </c>
      <c r="F52" t="s">
        <v>58</v>
      </c>
      <c r="G52">
        <v>64</v>
      </c>
      <c r="H52">
        <v>64</v>
      </c>
      <c r="I52">
        <v>8</v>
      </c>
      <c r="J52">
        <v>1</v>
      </c>
      <c r="K52">
        <v>8</v>
      </c>
      <c r="L52">
        <v>5</v>
      </c>
      <c r="M52" t="b">
        <v>1</v>
      </c>
      <c r="N52" t="b">
        <v>0</v>
      </c>
      <c r="O52">
        <f>O21</f>
        <v>417</v>
      </c>
      <c r="P52">
        <v>170</v>
      </c>
    </row>
    <row r="54" spans="1:16" x14ac:dyDescent="0.15">
      <c r="A54" t="s">
        <v>33</v>
      </c>
      <c r="B54" t="s">
        <v>34</v>
      </c>
      <c r="C54" t="s">
        <v>20</v>
      </c>
      <c r="D54" t="s">
        <v>21</v>
      </c>
      <c r="E54" t="s">
        <v>22</v>
      </c>
      <c r="F54" t="s">
        <v>23</v>
      </c>
      <c r="G54" t="s">
        <v>24</v>
      </c>
      <c r="H54" t="s">
        <v>25</v>
      </c>
      <c r="I54" t="s">
        <v>26</v>
      </c>
      <c r="J54" t="s">
        <v>27</v>
      </c>
      <c r="K54" t="s">
        <v>35</v>
      </c>
      <c r="L54" t="s">
        <v>36</v>
      </c>
      <c r="M54" t="s">
        <v>37</v>
      </c>
      <c r="N54" t="s">
        <v>8</v>
      </c>
      <c r="O54" t="s">
        <v>9</v>
      </c>
      <c r="P54" t="s">
        <v>10</v>
      </c>
    </row>
    <row r="55" spans="1:16" x14ac:dyDescent="0.15">
      <c r="A55" t="s">
        <v>38</v>
      </c>
      <c r="B55" t="s">
        <v>114</v>
      </c>
      <c r="C55" t="s">
        <v>115</v>
      </c>
      <c r="D55">
        <v>8100</v>
      </c>
      <c r="E55" t="b">
        <v>0</v>
      </c>
      <c r="F55" t="s">
        <v>41</v>
      </c>
      <c r="G55">
        <v>48</v>
      </c>
      <c r="H55">
        <v>30</v>
      </c>
      <c r="I55">
        <f>O58+(G58/2)-G55/2</f>
        <v>425</v>
      </c>
      <c r="J55">
        <f>P58-H55</f>
        <v>270</v>
      </c>
      <c r="K55" t="s">
        <v>42</v>
      </c>
      <c r="L55">
        <v>0</v>
      </c>
      <c r="M55">
        <v>0</v>
      </c>
      <c r="N55" t="s">
        <v>8</v>
      </c>
      <c r="O55" t="s">
        <v>9</v>
      </c>
      <c r="P55" t="s">
        <v>10</v>
      </c>
    </row>
    <row r="57" spans="1:16" x14ac:dyDescent="0.15">
      <c r="A57" t="s">
        <v>50</v>
      </c>
      <c r="B57" t="s">
        <v>51</v>
      </c>
      <c r="C57" t="s">
        <v>20</v>
      </c>
      <c r="D57" t="s">
        <v>21</v>
      </c>
      <c r="E57" t="s">
        <v>22</v>
      </c>
      <c r="F57" t="s">
        <v>23</v>
      </c>
      <c r="G57" t="s">
        <v>24</v>
      </c>
      <c r="H57" t="s">
        <v>25</v>
      </c>
      <c r="I57" t="s">
        <v>52</v>
      </c>
      <c r="J57" t="s">
        <v>53</v>
      </c>
      <c r="K57" t="s">
        <v>255</v>
      </c>
      <c r="L57" t="s">
        <v>54</v>
      </c>
      <c r="M57" t="s">
        <v>55</v>
      </c>
      <c r="N57" t="s">
        <v>256</v>
      </c>
      <c r="O57" t="s">
        <v>26</v>
      </c>
      <c r="P57" t="s">
        <v>27</v>
      </c>
    </row>
    <row r="58" spans="1:16" x14ac:dyDescent="0.15">
      <c r="A58" t="s">
        <v>56</v>
      </c>
      <c r="B58" t="s">
        <v>116</v>
      </c>
      <c r="C58" t="s">
        <v>117</v>
      </c>
      <c r="D58">
        <v>8200</v>
      </c>
      <c r="E58" t="b">
        <v>0</v>
      </c>
      <c r="F58" t="s">
        <v>58</v>
      </c>
      <c r="G58">
        <v>64</v>
      </c>
      <c r="H58">
        <v>64</v>
      </c>
      <c r="I58">
        <v>8</v>
      </c>
      <c r="J58">
        <v>1</v>
      </c>
      <c r="K58">
        <v>8</v>
      </c>
      <c r="L58">
        <v>5</v>
      </c>
      <c r="M58" t="b">
        <v>1</v>
      </c>
      <c r="N58" t="b">
        <v>0</v>
      </c>
      <c r="O58">
        <f>O52</f>
        <v>417</v>
      </c>
      <c r="P58">
        <v>300</v>
      </c>
    </row>
    <row r="60" spans="1:16" x14ac:dyDescent="0.15">
      <c r="A60" t="s">
        <v>118</v>
      </c>
    </row>
    <row r="62" spans="1:16" x14ac:dyDescent="0.15">
      <c r="A62" t="s">
        <v>119</v>
      </c>
    </row>
    <row r="63" spans="1:16" x14ac:dyDescent="0.15">
      <c r="A63" t="s">
        <v>33</v>
      </c>
      <c r="B63" t="s">
        <v>34</v>
      </c>
      <c r="C63" t="s">
        <v>20</v>
      </c>
      <c r="D63" t="s">
        <v>21</v>
      </c>
      <c r="E63" t="s">
        <v>22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K63" t="s">
        <v>35</v>
      </c>
      <c r="L63" t="s">
        <v>36</v>
      </c>
      <c r="M63" t="s">
        <v>37</v>
      </c>
    </row>
    <row r="64" spans="1:16" x14ac:dyDescent="0.15">
      <c r="A64" t="s">
        <v>38</v>
      </c>
      <c r="B64" t="s">
        <v>120</v>
      </c>
      <c r="C64" t="s">
        <v>121</v>
      </c>
      <c r="D64">
        <v>8200</v>
      </c>
      <c r="E64" t="b">
        <v>0</v>
      </c>
      <c r="F64" t="s">
        <v>122</v>
      </c>
      <c r="G64">
        <v>150</v>
      </c>
      <c r="H64">
        <v>25</v>
      </c>
      <c r="I64">
        <v>10</v>
      </c>
      <c r="J64">
        <v>300</v>
      </c>
      <c r="K64" t="s">
        <v>120</v>
      </c>
      <c r="L64">
        <v>15</v>
      </c>
      <c r="M64">
        <v>5</v>
      </c>
      <c r="N64" t="s">
        <v>8</v>
      </c>
      <c r="O64" t="s">
        <v>9</v>
      </c>
      <c r="P64" t="s">
        <v>10</v>
      </c>
    </row>
    <row r="65" spans="1:16" x14ac:dyDescent="0.15">
      <c r="A65" t="s">
        <v>38</v>
      </c>
      <c r="B65" t="s">
        <v>123</v>
      </c>
      <c r="C65" t="s">
        <v>124</v>
      </c>
      <c r="D65">
        <v>8200</v>
      </c>
      <c r="E65" t="b">
        <v>0</v>
      </c>
      <c r="F65" t="s">
        <v>122</v>
      </c>
      <c r="G65">
        <v>150</v>
      </c>
      <c r="H65">
        <v>25</v>
      </c>
      <c r="I65">
        <v>10</v>
      </c>
      <c r="J65">
        <v>325</v>
      </c>
      <c r="K65" t="s">
        <v>125</v>
      </c>
      <c r="L65">
        <v>15</v>
      </c>
      <c r="M65">
        <v>5</v>
      </c>
      <c r="N65" t="s">
        <v>8</v>
      </c>
      <c r="O65" t="s">
        <v>9</v>
      </c>
      <c r="P65" t="s">
        <v>10</v>
      </c>
    </row>
    <row r="66" spans="1:16" x14ac:dyDescent="0.15">
      <c r="A66" t="s">
        <v>38</v>
      </c>
      <c r="B66" t="s">
        <v>126</v>
      </c>
      <c r="C66" t="s">
        <v>127</v>
      </c>
      <c r="D66">
        <v>8200</v>
      </c>
      <c r="E66" t="b">
        <v>0</v>
      </c>
      <c r="F66" t="s">
        <v>122</v>
      </c>
      <c r="G66">
        <v>150</v>
      </c>
      <c r="H66">
        <v>25</v>
      </c>
      <c r="I66">
        <v>10</v>
      </c>
      <c r="J66">
        <v>350</v>
      </c>
      <c r="K66" t="s">
        <v>126</v>
      </c>
      <c r="L66">
        <v>15</v>
      </c>
      <c r="M66">
        <v>5</v>
      </c>
      <c r="N66" t="s">
        <v>8</v>
      </c>
      <c r="O66" t="s">
        <v>9</v>
      </c>
      <c r="P66" t="s">
        <v>10</v>
      </c>
    </row>
  </sheetData>
  <phoneticPr fontId="18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utputCSV">
                <anchor moveWithCells="1" sizeWithCells="1">
                  <from>
                    <xdr:col>1</xdr:col>
                    <xdr:colOff>771525</xdr:colOff>
                    <xdr:row>0</xdr:row>
                    <xdr:rowOff>76200</xdr:rowOff>
                  </from>
                  <to>
                    <xdr:col>3</xdr:col>
                    <xdr:colOff>19050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32"/>
  <sheetViews>
    <sheetView workbookViewId="0">
      <selection activeCell="F6" sqref="F6"/>
    </sheetView>
  </sheetViews>
  <sheetFormatPr defaultRowHeight="13.5" x14ac:dyDescent="0.15"/>
  <cols>
    <col min="1" max="1" width="25.5" customWidth="1"/>
    <col min="2" max="2" width="18.375" customWidth="1"/>
    <col min="3" max="3" width="32.5" bestFit="1" customWidth="1"/>
    <col min="6" max="6" width="18.125" customWidth="1"/>
  </cols>
  <sheetData>
    <row r="1" spans="1:14" x14ac:dyDescent="0.15">
      <c r="A1" t="s">
        <v>254</v>
      </c>
    </row>
    <row r="2" spans="1:14" x14ac:dyDescent="0.15">
      <c r="A2" t="s">
        <v>129</v>
      </c>
    </row>
    <row r="3" spans="1:14" x14ac:dyDescent="0.15">
      <c r="A3" t="s">
        <v>130</v>
      </c>
      <c r="B3" t="s">
        <v>131</v>
      </c>
      <c r="C3" t="s">
        <v>132</v>
      </c>
      <c r="D3">
        <v>8200</v>
      </c>
      <c r="E3" t="b">
        <v>1</v>
      </c>
      <c r="F3" t="s">
        <v>250</v>
      </c>
      <c r="G3">
        <v>15</v>
      </c>
      <c r="H3">
        <v>15</v>
      </c>
      <c r="I3">
        <v>10</v>
      </c>
      <c r="J3">
        <v>100</v>
      </c>
      <c r="K3">
        <v>270</v>
      </c>
      <c r="L3">
        <v>50</v>
      </c>
    </row>
    <row r="4" spans="1:14" x14ac:dyDescent="0.15">
      <c r="A4" t="s">
        <v>130</v>
      </c>
      <c r="B4" t="s">
        <v>133</v>
      </c>
      <c r="C4" t="s">
        <v>134</v>
      </c>
      <c r="D4">
        <v>8200</v>
      </c>
      <c r="E4" t="b">
        <v>1</v>
      </c>
      <c r="F4" t="s">
        <v>105</v>
      </c>
      <c r="G4">
        <v>15</v>
      </c>
      <c r="H4">
        <v>15</v>
      </c>
      <c r="I4">
        <v>10</v>
      </c>
      <c r="J4">
        <v>180</v>
      </c>
      <c r="K4">
        <v>270</v>
      </c>
      <c r="L4">
        <v>50</v>
      </c>
    </row>
    <row r="5" spans="1:14" x14ac:dyDescent="0.15">
      <c r="A5" t="s">
        <v>135</v>
      </c>
    </row>
    <row r="6" spans="1:14" x14ac:dyDescent="0.15">
      <c r="A6" t="s">
        <v>136</v>
      </c>
      <c r="B6" t="s">
        <v>330</v>
      </c>
      <c r="C6" t="s">
        <v>319</v>
      </c>
      <c r="D6">
        <v>8300</v>
      </c>
      <c r="E6" t="b">
        <v>0</v>
      </c>
      <c r="F6">
        <v>85</v>
      </c>
      <c r="G6">
        <v>113</v>
      </c>
      <c r="H6" t="s">
        <v>322</v>
      </c>
      <c r="I6" t="s">
        <v>140</v>
      </c>
      <c r="J6" t="s">
        <v>9</v>
      </c>
      <c r="K6" t="s">
        <v>10</v>
      </c>
      <c r="M6">
        <v>75</v>
      </c>
      <c r="N6">
        <v>13</v>
      </c>
    </row>
    <row r="7" spans="1:14" x14ac:dyDescent="0.15">
      <c r="A7" t="s">
        <v>136</v>
      </c>
      <c r="B7" t="s">
        <v>137</v>
      </c>
      <c r="C7" t="s">
        <v>138</v>
      </c>
      <c r="D7">
        <v>8300</v>
      </c>
      <c r="E7" t="b">
        <v>0</v>
      </c>
      <c r="F7">
        <v>125</v>
      </c>
      <c r="G7">
        <v>113</v>
      </c>
      <c r="H7" t="s">
        <v>139</v>
      </c>
      <c r="I7" t="s">
        <v>140</v>
      </c>
      <c r="J7" t="s">
        <v>9</v>
      </c>
      <c r="K7" t="s">
        <v>10</v>
      </c>
      <c r="M7">
        <v>75</v>
      </c>
      <c r="N7">
        <v>13</v>
      </c>
    </row>
    <row r="8" spans="1:14" x14ac:dyDescent="0.15">
      <c r="A8" t="s">
        <v>11</v>
      </c>
      <c r="B8" t="s">
        <v>141</v>
      </c>
      <c r="C8" t="s">
        <v>142</v>
      </c>
      <c r="D8">
        <v>8300</v>
      </c>
      <c r="E8" t="b">
        <v>0</v>
      </c>
      <c r="F8" t="s">
        <v>143</v>
      </c>
      <c r="G8">
        <v>0</v>
      </c>
      <c r="H8">
        <v>0</v>
      </c>
      <c r="I8">
        <v>15</v>
      </c>
      <c r="J8">
        <v>105</v>
      </c>
      <c r="M8">
        <v>5</v>
      </c>
      <c r="N8">
        <v>5</v>
      </c>
    </row>
    <row r="9" spans="1:14" x14ac:dyDescent="0.15">
      <c r="A9" t="s">
        <v>136</v>
      </c>
      <c r="B9" t="s">
        <v>144</v>
      </c>
      <c r="C9" t="s">
        <v>145</v>
      </c>
      <c r="D9">
        <v>8300</v>
      </c>
      <c r="E9" t="b">
        <v>0</v>
      </c>
      <c r="F9">
        <v>210</v>
      </c>
      <c r="G9">
        <v>113</v>
      </c>
      <c r="H9" t="s">
        <v>345</v>
      </c>
      <c r="I9" t="s">
        <v>140</v>
      </c>
      <c r="J9" t="s">
        <v>9</v>
      </c>
      <c r="K9" t="s">
        <v>10</v>
      </c>
      <c r="M9">
        <v>75</v>
      </c>
      <c r="N9">
        <v>51</v>
      </c>
    </row>
    <row r="10" spans="1:14" x14ac:dyDescent="0.15">
      <c r="A10" t="s">
        <v>136</v>
      </c>
      <c r="B10" t="s">
        <v>146</v>
      </c>
      <c r="C10" t="s">
        <v>147</v>
      </c>
      <c r="D10">
        <v>8300</v>
      </c>
      <c r="E10" t="b">
        <v>0</v>
      </c>
      <c r="F10">
        <f>F9+40</f>
        <v>250</v>
      </c>
      <c r="G10">
        <f>G9</f>
        <v>113</v>
      </c>
      <c r="H10" t="s">
        <v>139</v>
      </c>
      <c r="I10" t="s">
        <v>140</v>
      </c>
      <c r="J10" t="s">
        <v>9</v>
      </c>
      <c r="K10" t="s">
        <v>10</v>
      </c>
      <c r="M10">
        <v>22</v>
      </c>
      <c r="N10">
        <v>0</v>
      </c>
    </row>
    <row r="11" spans="1:14" x14ac:dyDescent="0.15">
      <c r="A11" t="s">
        <v>136</v>
      </c>
      <c r="B11" t="s">
        <v>341</v>
      </c>
      <c r="C11" t="s">
        <v>343</v>
      </c>
      <c r="D11">
        <v>8300</v>
      </c>
      <c r="E11" t="b">
        <v>0</v>
      </c>
      <c r="F11">
        <v>210</v>
      </c>
      <c r="G11">
        <v>131</v>
      </c>
      <c r="H11" t="s">
        <v>346</v>
      </c>
      <c r="I11" t="s">
        <v>140</v>
      </c>
      <c r="J11" t="s">
        <v>9</v>
      </c>
      <c r="K11" t="s">
        <v>10</v>
      </c>
      <c r="M11">
        <v>75</v>
      </c>
      <c r="N11">
        <v>51</v>
      </c>
    </row>
    <row r="12" spans="1:14" x14ac:dyDescent="0.15">
      <c r="A12" t="s">
        <v>136</v>
      </c>
      <c r="B12" t="s">
        <v>342</v>
      </c>
      <c r="C12" t="s">
        <v>344</v>
      </c>
      <c r="D12">
        <v>8300</v>
      </c>
      <c r="E12" t="b">
        <v>0</v>
      </c>
      <c r="F12">
        <f>F11+40</f>
        <v>250</v>
      </c>
      <c r="G12">
        <f>G11</f>
        <v>131</v>
      </c>
      <c r="H12">
        <v>999999</v>
      </c>
      <c r="I12" t="s">
        <v>140</v>
      </c>
      <c r="J12" t="s">
        <v>9</v>
      </c>
      <c r="K12" t="s">
        <v>10</v>
      </c>
      <c r="M12">
        <v>22</v>
      </c>
      <c r="N12">
        <v>0</v>
      </c>
    </row>
    <row r="13" spans="1:14" x14ac:dyDescent="0.15">
      <c r="A13" t="s">
        <v>11</v>
      </c>
      <c r="B13" t="s">
        <v>148</v>
      </c>
      <c r="C13" t="s">
        <v>149</v>
      </c>
      <c r="D13">
        <v>8310</v>
      </c>
      <c r="E13" t="b">
        <v>0</v>
      </c>
      <c r="F13" t="s">
        <v>143</v>
      </c>
      <c r="G13">
        <v>0</v>
      </c>
      <c r="H13">
        <v>0</v>
      </c>
      <c r="I13">
        <v>47</v>
      </c>
      <c r="J13">
        <v>137</v>
      </c>
      <c r="M13">
        <v>37</v>
      </c>
      <c r="N13">
        <v>37</v>
      </c>
    </row>
    <row r="14" spans="1:14" x14ac:dyDescent="0.15">
      <c r="A14" t="s">
        <v>136</v>
      </c>
      <c r="B14" t="s">
        <v>328</v>
      </c>
      <c r="C14" t="s">
        <v>320</v>
      </c>
      <c r="D14">
        <v>8300</v>
      </c>
      <c r="E14" t="b">
        <v>0</v>
      </c>
      <c r="F14">
        <f>F6</f>
        <v>85</v>
      </c>
      <c r="G14">
        <v>151</v>
      </c>
      <c r="H14" t="s">
        <v>325</v>
      </c>
      <c r="I14" t="s">
        <v>140</v>
      </c>
      <c r="J14" t="s">
        <v>9</v>
      </c>
      <c r="K14" t="s">
        <v>10</v>
      </c>
      <c r="M14">
        <v>0</v>
      </c>
      <c r="N14">
        <v>32</v>
      </c>
    </row>
    <row r="15" spans="1:14" x14ac:dyDescent="0.15">
      <c r="A15" t="s">
        <v>136</v>
      </c>
      <c r="B15" t="s">
        <v>329</v>
      </c>
      <c r="C15" t="s">
        <v>150</v>
      </c>
      <c r="D15">
        <v>8300</v>
      </c>
      <c r="E15" t="b">
        <v>0</v>
      </c>
      <c r="F15">
        <f>F7</f>
        <v>125</v>
      </c>
      <c r="G15">
        <f>G14</f>
        <v>151</v>
      </c>
      <c r="H15" t="s">
        <v>139</v>
      </c>
      <c r="I15" t="s">
        <v>140</v>
      </c>
      <c r="J15" t="s">
        <v>9</v>
      </c>
      <c r="K15" t="s">
        <v>10</v>
      </c>
      <c r="M15">
        <v>0</v>
      </c>
      <c r="N15">
        <v>32</v>
      </c>
    </row>
    <row r="16" spans="1:14" x14ac:dyDescent="0.15">
      <c r="A16" t="s">
        <v>136</v>
      </c>
      <c r="B16" t="s">
        <v>326</v>
      </c>
      <c r="C16" t="s">
        <v>331</v>
      </c>
      <c r="D16">
        <v>8300</v>
      </c>
      <c r="E16" t="b">
        <v>0</v>
      </c>
      <c r="F16">
        <v>85</v>
      </c>
      <c r="G16">
        <v>132</v>
      </c>
      <c r="H16" t="s">
        <v>334</v>
      </c>
      <c r="I16" t="s">
        <v>140</v>
      </c>
      <c r="J16" t="s">
        <v>9</v>
      </c>
      <c r="K16" t="s">
        <v>10</v>
      </c>
      <c r="M16">
        <v>0</v>
      </c>
      <c r="N16">
        <v>32</v>
      </c>
    </row>
    <row r="17" spans="1:14" x14ac:dyDescent="0.15">
      <c r="A17" t="s">
        <v>136</v>
      </c>
      <c r="B17" t="s">
        <v>327</v>
      </c>
      <c r="C17" t="s">
        <v>332</v>
      </c>
      <c r="D17">
        <v>8300</v>
      </c>
      <c r="E17" t="b">
        <v>0</v>
      </c>
      <c r="F17">
        <f>F16+40</f>
        <v>125</v>
      </c>
      <c r="G17">
        <f>G16</f>
        <v>132</v>
      </c>
      <c r="H17" t="s">
        <v>336</v>
      </c>
      <c r="I17" t="s">
        <v>140</v>
      </c>
      <c r="J17" t="s">
        <v>9</v>
      </c>
      <c r="K17" t="s">
        <v>10</v>
      </c>
      <c r="M17">
        <v>0</v>
      </c>
      <c r="N17">
        <v>32</v>
      </c>
    </row>
    <row r="18" spans="1:14" x14ac:dyDescent="0.15">
      <c r="A18" t="s">
        <v>151</v>
      </c>
    </row>
    <row r="19" spans="1:14" x14ac:dyDescent="0.15">
      <c r="A19" t="s">
        <v>152</v>
      </c>
    </row>
    <row r="20" spans="1:14" x14ac:dyDescent="0.15">
      <c r="A20" t="s">
        <v>136</v>
      </c>
      <c r="B20" t="s">
        <v>153</v>
      </c>
      <c r="C20" t="s">
        <v>154</v>
      </c>
      <c r="D20">
        <v>8300</v>
      </c>
      <c r="E20" t="b">
        <v>1</v>
      </c>
      <c r="F20">
        <v>63</v>
      </c>
      <c r="G20">
        <v>193</v>
      </c>
      <c r="H20" t="s">
        <v>155</v>
      </c>
      <c r="I20" t="s">
        <v>140</v>
      </c>
      <c r="J20" t="s">
        <v>9</v>
      </c>
      <c r="K20" t="s">
        <v>10</v>
      </c>
      <c r="M20">
        <v>40</v>
      </c>
    </row>
    <row r="21" spans="1:14" x14ac:dyDescent="0.15">
      <c r="A21" t="s">
        <v>136</v>
      </c>
      <c r="B21" t="s">
        <v>156</v>
      </c>
      <c r="C21" t="s">
        <v>157</v>
      </c>
      <c r="D21">
        <v>8300</v>
      </c>
      <c r="E21" t="b">
        <v>1</v>
      </c>
      <c r="F21">
        <v>63</v>
      </c>
      <c r="G21">
        <v>212</v>
      </c>
      <c r="H21" t="s">
        <v>155</v>
      </c>
      <c r="I21" t="s">
        <v>140</v>
      </c>
      <c r="J21" t="s">
        <v>9</v>
      </c>
      <c r="K21" t="s">
        <v>10</v>
      </c>
    </row>
    <row r="22" spans="1:14" x14ac:dyDescent="0.15">
      <c r="A22" t="s">
        <v>136</v>
      </c>
      <c r="B22" t="s">
        <v>158</v>
      </c>
      <c r="C22" t="s">
        <v>159</v>
      </c>
      <c r="D22">
        <v>8300</v>
      </c>
      <c r="E22" t="b">
        <v>1</v>
      </c>
      <c r="F22">
        <v>63</v>
      </c>
      <c r="G22">
        <v>231</v>
      </c>
      <c r="H22" t="s">
        <v>155</v>
      </c>
      <c r="I22" t="s">
        <v>140</v>
      </c>
      <c r="J22" t="s">
        <v>9</v>
      </c>
      <c r="K22" t="s">
        <v>10</v>
      </c>
    </row>
    <row r="23" spans="1:14" x14ac:dyDescent="0.15">
      <c r="A23" t="s">
        <v>136</v>
      </c>
      <c r="B23" t="s">
        <v>160</v>
      </c>
      <c r="C23" t="s">
        <v>161</v>
      </c>
      <c r="D23">
        <v>8300</v>
      </c>
      <c r="E23" t="b">
        <v>1</v>
      </c>
      <c r="F23">
        <v>223</v>
      </c>
      <c r="G23">
        <v>193</v>
      </c>
      <c r="H23" t="s">
        <v>155</v>
      </c>
      <c r="I23" t="s">
        <v>140</v>
      </c>
      <c r="J23" t="s">
        <v>9</v>
      </c>
      <c r="K23" t="s">
        <v>10</v>
      </c>
    </row>
    <row r="24" spans="1:14" x14ac:dyDescent="0.15">
      <c r="A24" t="s">
        <v>136</v>
      </c>
      <c r="B24" t="s">
        <v>162</v>
      </c>
      <c r="C24" t="s">
        <v>163</v>
      </c>
      <c r="D24">
        <v>8300</v>
      </c>
      <c r="E24" t="b">
        <v>1</v>
      </c>
      <c r="F24">
        <v>223</v>
      </c>
      <c r="G24">
        <v>212</v>
      </c>
      <c r="H24" t="s">
        <v>155</v>
      </c>
      <c r="I24" t="s">
        <v>140</v>
      </c>
      <c r="J24" t="s">
        <v>9</v>
      </c>
      <c r="K24" t="s">
        <v>10</v>
      </c>
    </row>
    <row r="25" spans="1:14" x14ac:dyDescent="0.15">
      <c r="A25" t="s">
        <v>136</v>
      </c>
      <c r="B25" t="s">
        <v>164</v>
      </c>
      <c r="C25" t="s">
        <v>165</v>
      </c>
      <c r="D25">
        <v>8300</v>
      </c>
      <c r="E25" t="b">
        <v>1</v>
      </c>
      <c r="F25">
        <v>223</v>
      </c>
      <c r="G25">
        <v>231</v>
      </c>
      <c r="H25" t="s">
        <v>155</v>
      </c>
      <c r="I25" t="s">
        <v>140</v>
      </c>
      <c r="J25" t="s">
        <v>9</v>
      </c>
      <c r="K25" t="s">
        <v>10</v>
      </c>
    </row>
    <row r="26" spans="1:14" x14ac:dyDescent="0.15">
      <c r="A26" t="s">
        <v>166</v>
      </c>
    </row>
    <row r="27" spans="1:14" x14ac:dyDescent="0.15">
      <c r="A27" t="s">
        <v>136</v>
      </c>
      <c r="B27" t="s">
        <v>167</v>
      </c>
      <c r="C27" t="s">
        <v>168</v>
      </c>
      <c r="D27">
        <v>8300</v>
      </c>
      <c r="E27" t="b">
        <v>1</v>
      </c>
      <c r="F27">
        <v>23</v>
      </c>
      <c r="G27">
        <v>193</v>
      </c>
      <c r="H27" t="s">
        <v>169</v>
      </c>
      <c r="I27" t="s">
        <v>140</v>
      </c>
      <c r="J27" t="s">
        <v>9</v>
      </c>
      <c r="K27" t="s">
        <v>10</v>
      </c>
      <c r="M27">
        <v>13</v>
      </c>
      <c r="N27">
        <v>13</v>
      </c>
    </row>
    <row r="28" spans="1:14" x14ac:dyDescent="0.15">
      <c r="A28" t="s">
        <v>136</v>
      </c>
      <c r="B28" t="s">
        <v>170</v>
      </c>
      <c r="C28" t="s">
        <v>171</v>
      </c>
      <c r="D28">
        <v>8300</v>
      </c>
      <c r="E28" t="b">
        <v>1</v>
      </c>
      <c r="F28">
        <v>23</v>
      </c>
      <c r="G28">
        <v>212</v>
      </c>
      <c r="H28" t="s">
        <v>172</v>
      </c>
      <c r="I28" t="s">
        <v>140</v>
      </c>
      <c r="J28" t="s">
        <v>9</v>
      </c>
      <c r="K28" t="s">
        <v>10</v>
      </c>
      <c r="N28">
        <v>19</v>
      </c>
    </row>
    <row r="29" spans="1:14" x14ac:dyDescent="0.15">
      <c r="A29" t="s">
        <v>136</v>
      </c>
      <c r="B29" t="s">
        <v>173</v>
      </c>
      <c r="C29" t="s">
        <v>174</v>
      </c>
      <c r="D29">
        <v>8300</v>
      </c>
      <c r="E29" t="b">
        <v>1</v>
      </c>
      <c r="F29">
        <v>23</v>
      </c>
      <c r="G29">
        <v>231</v>
      </c>
      <c r="H29" t="s">
        <v>175</v>
      </c>
      <c r="I29" t="s">
        <v>140</v>
      </c>
      <c r="J29" t="s">
        <v>9</v>
      </c>
      <c r="K29" t="s">
        <v>10</v>
      </c>
    </row>
    <row r="30" spans="1:14" x14ac:dyDescent="0.15">
      <c r="A30" t="s">
        <v>136</v>
      </c>
      <c r="B30" t="s">
        <v>176</v>
      </c>
      <c r="C30" t="s">
        <v>177</v>
      </c>
      <c r="D30">
        <v>8300</v>
      </c>
      <c r="E30" t="b">
        <v>1</v>
      </c>
      <c r="F30">
        <v>183</v>
      </c>
      <c r="G30">
        <v>193</v>
      </c>
      <c r="H30" t="s">
        <v>178</v>
      </c>
      <c r="I30" t="s">
        <v>140</v>
      </c>
      <c r="J30" t="s">
        <v>9</v>
      </c>
      <c r="K30" t="s">
        <v>10</v>
      </c>
      <c r="M30">
        <v>160</v>
      </c>
    </row>
    <row r="31" spans="1:14" x14ac:dyDescent="0.15">
      <c r="A31" t="s">
        <v>136</v>
      </c>
      <c r="B31" t="s">
        <v>179</v>
      </c>
      <c r="C31" t="s">
        <v>180</v>
      </c>
      <c r="D31">
        <v>8300</v>
      </c>
      <c r="E31" t="b">
        <v>1</v>
      </c>
      <c r="F31">
        <v>183</v>
      </c>
      <c r="G31">
        <v>212</v>
      </c>
      <c r="H31" t="s">
        <v>181</v>
      </c>
      <c r="I31" t="s">
        <v>140</v>
      </c>
      <c r="J31" t="s">
        <v>9</v>
      </c>
      <c r="K31" t="s">
        <v>10</v>
      </c>
    </row>
    <row r="32" spans="1:14" x14ac:dyDescent="0.15">
      <c r="A32" t="s">
        <v>136</v>
      </c>
      <c r="B32" t="s">
        <v>182</v>
      </c>
      <c r="C32" t="s">
        <v>183</v>
      </c>
      <c r="D32">
        <v>8300</v>
      </c>
      <c r="E32" t="b">
        <v>1</v>
      </c>
      <c r="F32">
        <v>183</v>
      </c>
      <c r="G32">
        <v>231</v>
      </c>
      <c r="H32" t="s">
        <v>184</v>
      </c>
      <c r="I32" t="s">
        <v>140</v>
      </c>
      <c r="J32" t="s">
        <v>9</v>
      </c>
      <c r="K32" t="s">
        <v>10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utputCSV">
                <anchor moveWithCells="1" sizeWithCells="1">
                  <from>
                    <xdr:col>4</xdr:col>
                    <xdr:colOff>123825</xdr:colOff>
                    <xdr:row>0</xdr:row>
                    <xdr:rowOff>76200</xdr:rowOff>
                  </from>
                  <to>
                    <xdr:col>6</xdr:col>
                    <xdr:colOff>114300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32"/>
  <sheetViews>
    <sheetView workbookViewId="0">
      <selection activeCell="C5" sqref="C5"/>
    </sheetView>
  </sheetViews>
  <sheetFormatPr defaultRowHeight="13.5" x14ac:dyDescent="0.15"/>
  <cols>
    <col min="1" max="1" width="26.375" bestFit="1" customWidth="1"/>
    <col min="2" max="2" width="18.5" customWidth="1"/>
    <col min="3" max="3" width="35.125" bestFit="1" customWidth="1"/>
  </cols>
  <sheetData>
    <row r="1" spans="1:14" x14ac:dyDescent="0.15">
      <c r="A1" t="s">
        <v>253</v>
      </c>
    </row>
    <row r="2" spans="1:14" x14ac:dyDescent="0.15">
      <c r="A2" t="s">
        <v>129</v>
      </c>
    </row>
    <row r="3" spans="1:14" x14ac:dyDescent="0.15">
      <c r="A3" t="s">
        <v>130</v>
      </c>
      <c r="B3" t="s">
        <v>131</v>
      </c>
      <c r="C3" t="s">
        <v>204</v>
      </c>
      <c r="D3">
        <v>8200</v>
      </c>
      <c r="E3" t="b">
        <v>1</v>
      </c>
      <c r="F3" t="s">
        <v>105</v>
      </c>
      <c r="G3">
        <v>15</v>
      </c>
      <c r="H3">
        <v>15</v>
      </c>
      <c r="I3">
        <v>10</v>
      </c>
      <c r="J3">
        <v>100</v>
      </c>
      <c r="K3">
        <v>270</v>
      </c>
      <c r="L3">
        <v>50</v>
      </c>
    </row>
    <row r="4" spans="1:14" x14ac:dyDescent="0.15">
      <c r="A4" t="s">
        <v>130</v>
      </c>
      <c r="B4" t="s">
        <v>133</v>
      </c>
      <c r="C4" t="s">
        <v>203</v>
      </c>
      <c r="D4">
        <v>8200</v>
      </c>
      <c r="E4" t="b">
        <v>1</v>
      </c>
      <c r="F4" t="s">
        <v>105</v>
      </c>
      <c r="G4">
        <v>15</v>
      </c>
      <c r="H4">
        <v>15</v>
      </c>
      <c r="I4">
        <v>10</v>
      </c>
      <c r="J4">
        <v>180</v>
      </c>
      <c r="K4">
        <v>270</v>
      </c>
      <c r="L4">
        <v>50</v>
      </c>
    </row>
    <row r="5" spans="1:14" x14ac:dyDescent="0.15">
      <c r="A5" t="s">
        <v>135</v>
      </c>
    </row>
    <row r="6" spans="1:14" x14ac:dyDescent="0.15">
      <c r="A6" t="s">
        <v>136</v>
      </c>
      <c r="B6" t="s">
        <v>330</v>
      </c>
      <c r="C6" t="s">
        <v>337</v>
      </c>
      <c r="D6">
        <v>8300</v>
      </c>
      <c r="E6" t="b">
        <v>0</v>
      </c>
      <c r="F6">
        <f>VillageKeineCharacterStatus!F6</f>
        <v>85</v>
      </c>
      <c r="G6">
        <f>VillageKeineCharacterStatus!G6</f>
        <v>113</v>
      </c>
      <c r="H6" t="s">
        <v>321</v>
      </c>
      <c r="I6" t="s">
        <v>140</v>
      </c>
      <c r="J6" t="s">
        <v>9</v>
      </c>
      <c r="K6" t="s">
        <v>10</v>
      </c>
      <c r="M6">
        <v>75</v>
      </c>
      <c r="N6">
        <v>13</v>
      </c>
    </row>
    <row r="7" spans="1:14" x14ac:dyDescent="0.15">
      <c r="A7" t="s">
        <v>136</v>
      </c>
      <c r="B7" t="s">
        <v>137</v>
      </c>
      <c r="C7" t="s">
        <v>202</v>
      </c>
      <c r="D7">
        <v>8300</v>
      </c>
      <c r="E7" t="b">
        <v>0</v>
      </c>
      <c r="F7">
        <f>VillageKeineCharacterStatus!F7</f>
        <v>125</v>
      </c>
      <c r="G7">
        <f>VillageKeineCharacterStatus!G7</f>
        <v>113</v>
      </c>
      <c r="H7" t="s">
        <v>139</v>
      </c>
      <c r="I7" t="s">
        <v>140</v>
      </c>
      <c r="J7" t="s">
        <v>9</v>
      </c>
      <c r="K7" t="s">
        <v>10</v>
      </c>
      <c r="M7">
        <v>75</v>
      </c>
      <c r="N7">
        <v>13</v>
      </c>
    </row>
    <row r="8" spans="1:14" x14ac:dyDescent="0.15">
      <c r="A8" t="s">
        <v>11</v>
      </c>
      <c r="B8" t="s">
        <v>141</v>
      </c>
      <c r="C8" t="s">
        <v>201</v>
      </c>
      <c r="D8">
        <v>8300</v>
      </c>
      <c r="E8" t="b">
        <v>0</v>
      </c>
      <c r="F8" t="str">
        <f>VillageKeineCharacterStatus!F8</f>
        <v>dummy</v>
      </c>
      <c r="G8">
        <f>VillageKeineCharacterStatus!G8</f>
        <v>0</v>
      </c>
      <c r="H8">
        <v>0</v>
      </c>
      <c r="I8">
        <v>15</v>
      </c>
      <c r="J8">
        <v>105</v>
      </c>
      <c r="M8">
        <v>5</v>
      </c>
      <c r="N8">
        <v>5</v>
      </c>
    </row>
    <row r="9" spans="1:14" x14ac:dyDescent="0.15">
      <c r="A9" t="s">
        <v>136</v>
      </c>
      <c r="B9" t="s">
        <v>144</v>
      </c>
      <c r="C9" t="s">
        <v>200</v>
      </c>
      <c r="D9">
        <v>8300</v>
      </c>
      <c r="E9" t="b">
        <v>0</v>
      </c>
      <c r="F9">
        <f>VillageKeineCharacterStatus!F9</f>
        <v>210</v>
      </c>
      <c r="G9">
        <f>VillageKeineCharacterStatus!G9</f>
        <v>113</v>
      </c>
      <c r="H9" t="s">
        <v>323</v>
      </c>
      <c r="I9" t="s">
        <v>140</v>
      </c>
      <c r="J9" t="s">
        <v>9</v>
      </c>
      <c r="K9" t="s">
        <v>10</v>
      </c>
      <c r="M9">
        <v>75</v>
      </c>
      <c r="N9">
        <v>51</v>
      </c>
    </row>
    <row r="10" spans="1:14" x14ac:dyDescent="0.15">
      <c r="A10" t="s">
        <v>136</v>
      </c>
      <c r="B10" t="s">
        <v>146</v>
      </c>
      <c r="C10" t="s">
        <v>199</v>
      </c>
      <c r="D10">
        <v>8300</v>
      </c>
      <c r="E10" t="b">
        <v>0</v>
      </c>
      <c r="F10">
        <f>VillageKeineCharacterStatus!F10</f>
        <v>250</v>
      </c>
      <c r="G10">
        <f>VillageKeineCharacterStatus!G10</f>
        <v>113</v>
      </c>
      <c r="H10" t="s">
        <v>139</v>
      </c>
      <c r="I10" t="s">
        <v>140</v>
      </c>
      <c r="J10" t="s">
        <v>9</v>
      </c>
      <c r="K10" t="s">
        <v>10</v>
      </c>
      <c r="M10">
        <v>22</v>
      </c>
      <c r="N10">
        <v>0</v>
      </c>
    </row>
    <row r="11" spans="1:14" x14ac:dyDescent="0.15">
      <c r="A11" t="s">
        <v>136</v>
      </c>
      <c r="B11" t="s">
        <v>341</v>
      </c>
      <c r="C11" t="s">
        <v>347</v>
      </c>
      <c r="D11">
        <v>8300</v>
      </c>
      <c r="E11" t="b">
        <v>0</v>
      </c>
      <c r="F11">
        <f>VillageKeineCharacterStatus!F11</f>
        <v>210</v>
      </c>
      <c r="G11">
        <f>VillageKeineCharacterStatus!G11</f>
        <v>131</v>
      </c>
      <c r="H11" t="s">
        <v>346</v>
      </c>
      <c r="I11" t="s">
        <v>140</v>
      </c>
      <c r="J11" t="s">
        <v>9</v>
      </c>
      <c r="K11" t="s">
        <v>10</v>
      </c>
      <c r="M11">
        <v>75</v>
      </c>
      <c r="N11">
        <v>51</v>
      </c>
    </row>
    <row r="12" spans="1:14" x14ac:dyDescent="0.15">
      <c r="A12" t="s">
        <v>136</v>
      </c>
      <c r="B12" t="s">
        <v>342</v>
      </c>
      <c r="C12" t="s">
        <v>348</v>
      </c>
      <c r="D12">
        <v>8300</v>
      </c>
      <c r="E12" t="b">
        <v>0</v>
      </c>
      <c r="F12">
        <f>VillageKeineCharacterStatus!F12</f>
        <v>250</v>
      </c>
      <c r="G12">
        <f>VillageKeineCharacterStatus!G12</f>
        <v>131</v>
      </c>
      <c r="H12">
        <v>999999</v>
      </c>
      <c r="I12" t="s">
        <v>140</v>
      </c>
      <c r="J12" t="s">
        <v>9</v>
      </c>
      <c r="K12" t="s">
        <v>10</v>
      </c>
      <c r="M12">
        <v>22</v>
      </c>
      <c r="N12">
        <v>0</v>
      </c>
    </row>
    <row r="13" spans="1:14" x14ac:dyDescent="0.15">
      <c r="A13" t="s">
        <v>11</v>
      </c>
      <c r="B13" t="s">
        <v>148</v>
      </c>
      <c r="C13" t="s">
        <v>198</v>
      </c>
      <c r="D13">
        <v>8310</v>
      </c>
      <c r="E13" t="b">
        <v>0</v>
      </c>
      <c r="F13" t="str">
        <f>VillageKeineCharacterStatus!F13</f>
        <v>dummy</v>
      </c>
      <c r="G13">
        <f>VillageKeineCharacterStatus!G13</f>
        <v>0</v>
      </c>
      <c r="H13">
        <v>0</v>
      </c>
      <c r="I13">
        <v>47</v>
      </c>
      <c r="J13">
        <v>137</v>
      </c>
      <c r="M13">
        <v>37</v>
      </c>
      <c r="N13">
        <v>37</v>
      </c>
    </row>
    <row r="14" spans="1:14" x14ac:dyDescent="0.15">
      <c r="A14" t="s">
        <v>136</v>
      </c>
      <c r="B14" t="s">
        <v>328</v>
      </c>
      <c r="C14" t="s">
        <v>338</v>
      </c>
      <c r="D14">
        <v>8300</v>
      </c>
      <c r="E14" t="b">
        <v>0</v>
      </c>
      <c r="F14">
        <f>VillageKeineCharacterStatus!F14</f>
        <v>85</v>
      </c>
      <c r="G14">
        <f>VillageKeineCharacterStatus!G14</f>
        <v>151</v>
      </c>
      <c r="H14" t="s">
        <v>324</v>
      </c>
      <c r="I14" t="s">
        <v>140</v>
      </c>
      <c r="J14" t="s">
        <v>9</v>
      </c>
      <c r="K14" t="s">
        <v>10</v>
      </c>
      <c r="M14">
        <v>0</v>
      </c>
      <c r="N14">
        <v>32</v>
      </c>
    </row>
    <row r="15" spans="1:14" x14ac:dyDescent="0.15">
      <c r="A15" t="s">
        <v>136</v>
      </c>
      <c r="B15" t="s">
        <v>329</v>
      </c>
      <c r="C15" t="s">
        <v>197</v>
      </c>
      <c r="D15">
        <v>8300</v>
      </c>
      <c r="E15" t="b">
        <v>0</v>
      </c>
      <c r="F15">
        <f>VillageKeineCharacterStatus!F15</f>
        <v>125</v>
      </c>
      <c r="G15">
        <f>VillageKeineCharacterStatus!G15</f>
        <v>151</v>
      </c>
      <c r="H15" t="s">
        <v>139</v>
      </c>
      <c r="I15" t="s">
        <v>140</v>
      </c>
      <c r="J15" t="s">
        <v>9</v>
      </c>
      <c r="K15" t="s">
        <v>10</v>
      </c>
      <c r="M15">
        <v>0</v>
      </c>
      <c r="N15">
        <v>32</v>
      </c>
    </row>
    <row r="16" spans="1:14" x14ac:dyDescent="0.15">
      <c r="A16" t="s">
        <v>136</v>
      </c>
      <c r="B16" t="s">
        <v>326</v>
      </c>
      <c r="C16" t="s">
        <v>339</v>
      </c>
      <c r="D16">
        <v>8300</v>
      </c>
      <c r="E16" t="b">
        <v>0</v>
      </c>
      <c r="F16">
        <f>VillageKeineCharacterStatus!F16</f>
        <v>85</v>
      </c>
      <c r="G16">
        <f>VillageKeineCharacterStatus!G16</f>
        <v>132</v>
      </c>
      <c r="H16" t="s">
        <v>333</v>
      </c>
      <c r="I16" t="s">
        <v>140</v>
      </c>
      <c r="J16" t="s">
        <v>9</v>
      </c>
      <c r="K16" t="s">
        <v>10</v>
      </c>
      <c r="M16">
        <v>0</v>
      </c>
      <c r="N16">
        <v>32</v>
      </c>
    </row>
    <row r="17" spans="1:14" x14ac:dyDescent="0.15">
      <c r="A17" t="s">
        <v>136</v>
      </c>
      <c r="B17" t="s">
        <v>327</v>
      </c>
      <c r="C17" t="s">
        <v>340</v>
      </c>
      <c r="D17">
        <v>8300</v>
      </c>
      <c r="E17" t="b">
        <v>0</v>
      </c>
      <c r="F17">
        <f>VillageKeineCharacterStatus!F17</f>
        <v>125</v>
      </c>
      <c r="G17">
        <f>VillageKeineCharacterStatus!G17</f>
        <v>132</v>
      </c>
      <c r="H17" t="s">
        <v>335</v>
      </c>
      <c r="I17" t="s">
        <v>140</v>
      </c>
      <c r="J17" t="s">
        <v>9</v>
      </c>
      <c r="K17" t="s">
        <v>10</v>
      </c>
      <c r="M17">
        <v>0</v>
      </c>
      <c r="N17">
        <v>32</v>
      </c>
    </row>
    <row r="18" spans="1:14" x14ac:dyDescent="0.15">
      <c r="A18" t="s">
        <v>151</v>
      </c>
    </row>
    <row r="19" spans="1:14" x14ac:dyDescent="0.15">
      <c r="A19" t="s">
        <v>152</v>
      </c>
    </row>
    <row r="20" spans="1:14" x14ac:dyDescent="0.15">
      <c r="A20" t="s">
        <v>136</v>
      </c>
      <c r="B20" t="s">
        <v>153</v>
      </c>
      <c r="C20" t="s">
        <v>196</v>
      </c>
      <c r="D20">
        <v>8300</v>
      </c>
      <c r="E20" t="b">
        <v>1</v>
      </c>
      <c r="F20">
        <v>63</v>
      </c>
      <c r="G20">
        <v>193</v>
      </c>
      <c r="H20" t="s">
        <v>155</v>
      </c>
      <c r="I20" t="s">
        <v>140</v>
      </c>
      <c r="J20" t="s">
        <v>9</v>
      </c>
      <c r="K20" t="s">
        <v>10</v>
      </c>
    </row>
    <row r="21" spans="1:14" x14ac:dyDescent="0.15">
      <c r="A21" t="s">
        <v>136</v>
      </c>
      <c r="B21" t="s">
        <v>156</v>
      </c>
      <c r="C21" t="s">
        <v>195</v>
      </c>
      <c r="D21">
        <v>8300</v>
      </c>
      <c r="E21" t="b">
        <v>1</v>
      </c>
      <c r="F21">
        <v>63</v>
      </c>
      <c r="G21">
        <v>212</v>
      </c>
      <c r="H21" t="s">
        <v>155</v>
      </c>
      <c r="I21" t="s">
        <v>140</v>
      </c>
      <c r="J21" t="s">
        <v>9</v>
      </c>
      <c r="K21" t="s">
        <v>10</v>
      </c>
    </row>
    <row r="22" spans="1:14" x14ac:dyDescent="0.15">
      <c r="A22" t="s">
        <v>136</v>
      </c>
      <c r="B22" t="s">
        <v>158</v>
      </c>
      <c r="C22" t="s">
        <v>194</v>
      </c>
      <c r="D22">
        <v>8300</v>
      </c>
      <c r="E22" t="b">
        <v>1</v>
      </c>
      <c r="F22">
        <v>63</v>
      </c>
      <c r="G22">
        <v>231</v>
      </c>
      <c r="H22" t="s">
        <v>155</v>
      </c>
      <c r="I22" t="s">
        <v>140</v>
      </c>
      <c r="J22" t="s">
        <v>9</v>
      </c>
      <c r="K22" t="s">
        <v>10</v>
      </c>
    </row>
    <row r="23" spans="1:14" x14ac:dyDescent="0.15">
      <c r="A23" t="s">
        <v>136</v>
      </c>
      <c r="B23" t="s">
        <v>160</v>
      </c>
      <c r="C23" t="s">
        <v>193</v>
      </c>
      <c r="D23">
        <v>8300</v>
      </c>
      <c r="E23" t="b">
        <v>1</v>
      </c>
      <c r="F23">
        <v>223</v>
      </c>
      <c r="G23">
        <v>193</v>
      </c>
      <c r="H23" t="s">
        <v>155</v>
      </c>
      <c r="I23" t="s">
        <v>140</v>
      </c>
      <c r="J23" t="s">
        <v>9</v>
      </c>
      <c r="K23" t="s">
        <v>10</v>
      </c>
    </row>
    <row r="24" spans="1:14" x14ac:dyDescent="0.15">
      <c r="A24" t="s">
        <v>136</v>
      </c>
      <c r="B24" t="s">
        <v>162</v>
      </c>
      <c r="C24" t="s">
        <v>192</v>
      </c>
      <c r="D24">
        <v>8300</v>
      </c>
      <c r="E24" t="b">
        <v>1</v>
      </c>
      <c r="F24">
        <v>223</v>
      </c>
      <c r="G24">
        <v>212</v>
      </c>
      <c r="H24" t="s">
        <v>155</v>
      </c>
      <c r="I24" t="s">
        <v>140</v>
      </c>
      <c r="J24" t="s">
        <v>9</v>
      </c>
      <c r="K24" t="s">
        <v>10</v>
      </c>
    </row>
    <row r="25" spans="1:14" x14ac:dyDescent="0.15">
      <c r="A25" t="s">
        <v>136</v>
      </c>
      <c r="B25" t="s">
        <v>164</v>
      </c>
      <c r="C25" t="s">
        <v>191</v>
      </c>
      <c r="D25">
        <v>8300</v>
      </c>
      <c r="E25" t="b">
        <v>1</v>
      </c>
      <c r="F25">
        <v>223</v>
      </c>
      <c r="G25">
        <v>231</v>
      </c>
      <c r="H25" t="s">
        <v>155</v>
      </c>
      <c r="I25" t="s">
        <v>140</v>
      </c>
      <c r="J25" t="s">
        <v>9</v>
      </c>
      <c r="K25" t="s">
        <v>10</v>
      </c>
    </row>
    <row r="26" spans="1:14" x14ac:dyDescent="0.15">
      <c r="A26" t="s">
        <v>166</v>
      </c>
    </row>
    <row r="27" spans="1:14" x14ac:dyDescent="0.15">
      <c r="A27" t="s">
        <v>136</v>
      </c>
      <c r="B27" t="s">
        <v>167</v>
      </c>
      <c r="C27" t="s">
        <v>190</v>
      </c>
      <c r="D27">
        <v>8300</v>
      </c>
      <c r="E27" t="b">
        <v>1</v>
      </c>
      <c r="F27">
        <v>23</v>
      </c>
      <c r="G27">
        <v>193</v>
      </c>
      <c r="H27" t="s">
        <v>169</v>
      </c>
      <c r="I27" t="s">
        <v>140</v>
      </c>
      <c r="J27" t="s">
        <v>9</v>
      </c>
      <c r="K27" t="s">
        <v>10</v>
      </c>
    </row>
    <row r="28" spans="1:14" x14ac:dyDescent="0.15">
      <c r="A28" t="s">
        <v>136</v>
      </c>
      <c r="B28" t="s">
        <v>170</v>
      </c>
      <c r="C28" t="s">
        <v>189</v>
      </c>
      <c r="D28">
        <v>8300</v>
      </c>
      <c r="E28" t="b">
        <v>1</v>
      </c>
      <c r="F28">
        <v>23</v>
      </c>
      <c r="G28">
        <v>212</v>
      </c>
      <c r="H28" t="s">
        <v>172</v>
      </c>
      <c r="I28" t="s">
        <v>140</v>
      </c>
      <c r="J28" t="s">
        <v>9</v>
      </c>
      <c r="K28" t="s">
        <v>10</v>
      </c>
    </row>
    <row r="29" spans="1:14" x14ac:dyDescent="0.15">
      <c r="A29" t="s">
        <v>136</v>
      </c>
      <c r="B29" t="s">
        <v>173</v>
      </c>
      <c r="C29" t="s">
        <v>188</v>
      </c>
      <c r="D29">
        <v>8300</v>
      </c>
      <c r="E29" t="b">
        <v>1</v>
      </c>
      <c r="F29">
        <v>23</v>
      </c>
      <c r="G29">
        <v>231</v>
      </c>
      <c r="H29" t="s">
        <v>175</v>
      </c>
      <c r="I29" t="s">
        <v>140</v>
      </c>
      <c r="J29" t="s">
        <v>9</v>
      </c>
      <c r="K29" t="s">
        <v>10</v>
      </c>
    </row>
    <row r="30" spans="1:14" x14ac:dyDescent="0.15">
      <c r="A30" t="s">
        <v>136</v>
      </c>
      <c r="B30" t="s">
        <v>176</v>
      </c>
      <c r="C30" t="s">
        <v>187</v>
      </c>
      <c r="D30">
        <v>8300</v>
      </c>
      <c r="E30" t="b">
        <v>1</v>
      </c>
      <c r="F30">
        <v>183</v>
      </c>
      <c r="G30">
        <v>193</v>
      </c>
      <c r="H30" t="s">
        <v>178</v>
      </c>
      <c r="I30" t="s">
        <v>140</v>
      </c>
      <c r="J30" t="s">
        <v>9</v>
      </c>
      <c r="K30" t="s">
        <v>10</v>
      </c>
    </row>
    <row r="31" spans="1:14" x14ac:dyDescent="0.15">
      <c r="A31" t="s">
        <v>136</v>
      </c>
      <c r="B31" t="s">
        <v>179</v>
      </c>
      <c r="C31" t="s">
        <v>186</v>
      </c>
      <c r="D31">
        <v>8300</v>
      </c>
      <c r="E31" t="b">
        <v>1</v>
      </c>
      <c r="F31">
        <v>183</v>
      </c>
      <c r="G31">
        <v>212</v>
      </c>
      <c r="H31" t="s">
        <v>181</v>
      </c>
      <c r="I31" t="s">
        <v>140</v>
      </c>
      <c r="J31" t="s">
        <v>9</v>
      </c>
      <c r="K31" t="s">
        <v>10</v>
      </c>
    </row>
    <row r="32" spans="1:14" x14ac:dyDescent="0.15">
      <c r="A32" t="s">
        <v>136</v>
      </c>
      <c r="B32" t="s">
        <v>182</v>
      </c>
      <c r="C32" t="s">
        <v>185</v>
      </c>
      <c r="D32">
        <v>8300</v>
      </c>
      <c r="E32" t="b">
        <v>1</v>
      </c>
      <c r="F32">
        <v>183</v>
      </c>
      <c r="G32">
        <v>231</v>
      </c>
      <c r="H32" t="s">
        <v>184</v>
      </c>
      <c r="I32" t="s">
        <v>140</v>
      </c>
      <c r="J32" t="s">
        <v>9</v>
      </c>
      <c r="K32" t="s">
        <v>10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outputCSV">
                <anchor moveWithCells="1" sizeWithCells="1">
                  <from>
                    <xdr:col>3</xdr:col>
                    <xdr:colOff>9525</xdr:colOff>
                    <xdr:row>0</xdr:row>
                    <xdr:rowOff>76200</xdr:rowOff>
                  </from>
                  <to>
                    <xdr:col>6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6"/>
  <sheetViews>
    <sheetView workbookViewId="0">
      <selection activeCell="H10" sqref="H10"/>
    </sheetView>
  </sheetViews>
  <sheetFormatPr defaultRowHeight="13.5" x14ac:dyDescent="0.15"/>
  <sheetData>
    <row r="1" spans="1:14" x14ac:dyDescent="0.15">
      <c r="A1" t="s">
        <v>213</v>
      </c>
    </row>
    <row r="2" spans="1:14" x14ac:dyDescent="0.15">
      <c r="A2" t="s">
        <v>129</v>
      </c>
    </row>
    <row r="3" spans="1:14" x14ac:dyDescent="0.15">
      <c r="A3" t="s">
        <v>130</v>
      </c>
      <c r="B3" t="s">
        <v>212</v>
      </c>
      <c r="C3" t="s">
        <v>211</v>
      </c>
      <c r="D3">
        <v>8400</v>
      </c>
      <c r="E3" t="b">
        <v>1</v>
      </c>
      <c r="F3" t="s">
        <v>105</v>
      </c>
      <c r="G3">
        <v>15</v>
      </c>
      <c r="H3">
        <v>15</v>
      </c>
      <c r="I3">
        <v>10</v>
      </c>
      <c r="J3">
        <v>325</v>
      </c>
      <c r="K3">
        <v>200</v>
      </c>
      <c r="L3">
        <v>32</v>
      </c>
    </row>
    <row r="4" spans="1:14" x14ac:dyDescent="0.15">
      <c r="A4" t="s">
        <v>210</v>
      </c>
    </row>
    <row r="5" spans="1:14" x14ac:dyDescent="0.15">
      <c r="A5" t="s">
        <v>136</v>
      </c>
      <c r="B5" t="s">
        <v>209</v>
      </c>
      <c r="C5" t="s">
        <v>208</v>
      </c>
      <c r="D5">
        <v>8450</v>
      </c>
      <c r="E5" t="b">
        <v>1</v>
      </c>
      <c r="F5">
        <v>23</v>
      </c>
      <c r="G5">
        <v>338</v>
      </c>
      <c r="H5" t="s">
        <v>205</v>
      </c>
      <c r="I5" t="s">
        <v>140</v>
      </c>
      <c r="J5" t="s">
        <v>9</v>
      </c>
      <c r="K5" t="s">
        <v>10</v>
      </c>
      <c r="M5">
        <v>13</v>
      </c>
      <c r="N5">
        <v>13</v>
      </c>
    </row>
    <row r="6" spans="1:14" x14ac:dyDescent="0.15">
      <c r="A6" t="s">
        <v>136</v>
      </c>
      <c r="B6" t="s">
        <v>207</v>
      </c>
      <c r="C6" t="s">
        <v>206</v>
      </c>
      <c r="D6">
        <v>8450</v>
      </c>
      <c r="E6" t="b">
        <v>1</v>
      </c>
      <c r="F6">
        <v>43</v>
      </c>
      <c r="G6">
        <v>358</v>
      </c>
      <c r="H6" t="s">
        <v>205</v>
      </c>
      <c r="I6" t="s">
        <v>140</v>
      </c>
      <c r="J6" t="s">
        <v>9</v>
      </c>
      <c r="K6" t="s">
        <v>10</v>
      </c>
      <c r="M6">
        <v>20</v>
      </c>
      <c r="N6">
        <v>20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outputCSV">
                <anchor moveWithCells="1" sizeWithCells="1">
                  <from>
                    <xdr:col>2</xdr:col>
                    <xdr:colOff>9525</xdr:colOff>
                    <xdr:row>0</xdr:row>
                    <xdr:rowOff>76200</xdr:rowOff>
                  </from>
                  <to>
                    <xdr:col>5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8"/>
  <sheetViews>
    <sheetView workbookViewId="0">
      <selection activeCell="C1" sqref="C1"/>
    </sheetView>
  </sheetViews>
  <sheetFormatPr defaultRowHeight="13.5" x14ac:dyDescent="0.15"/>
  <sheetData>
    <row r="1" spans="1:14" x14ac:dyDescent="0.15">
      <c r="A1" t="s">
        <v>223</v>
      </c>
    </row>
    <row r="2" spans="1:14" x14ac:dyDescent="0.15">
      <c r="A2" t="s">
        <v>129</v>
      </c>
    </row>
    <row r="3" spans="1:14" x14ac:dyDescent="0.15">
      <c r="A3" t="s">
        <v>130</v>
      </c>
      <c r="B3" t="s">
        <v>222</v>
      </c>
      <c r="C3" t="s">
        <v>221</v>
      </c>
      <c r="D3">
        <v>8400</v>
      </c>
      <c r="E3" t="b">
        <v>1</v>
      </c>
      <c r="F3" t="s">
        <v>105</v>
      </c>
      <c r="G3">
        <v>15</v>
      </c>
      <c r="H3">
        <v>15</v>
      </c>
      <c r="I3">
        <v>10</v>
      </c>
      <c r="J3">
        <v>260</v>
      </c>
      <c r="K3">
        <v>250</v>
      </c>
      <c r="L3">
        <v>32</v>
      </c>
    </row>
    <row r="4" spans="1:14" x14ac:dyDescent="0.15">
      <c r="A4" t="s">
        <v>220</v>
      </c>
    </row>
    <row r="5" spans="1:14" x14ac:dyDescent="0.15">
      <c r="A5" t="s">
        <v>136</v>
      </c>
      <c r="B5" t="s">
        <v>215</v>
      </c>
      <c r="C5" t="s">
        <v>219</v>
      </c>
      <c r="D5">
        <v>8450</v>
      </c>
      <c r="E5" t="b">
        <v>1</v>
      </c>
      <c r="F5">
        <v>23</v>
      </c>
      <c r="G5">
        <v>273</v>
      </c>
      <c r="H5" t="s">
        <v>205</v>
      </c>
      <c r="I5" t="s">
        <v>140</v>
      </c>
      <c r="J5" t="s">
        <v>9</v>
      </c>
      <c r="K5" t="s">
        <v>10</v>
      </c>
      <c r="M5">
        <v>13</v>
      </c>
      <c r="N5">
        <v>13</v>
      </c>
    </row>
    <row r="6" spans="1:14" x14ac:dyDescent="0.15">
      <c r="A6" t="s">
        <v>218</v>
      </c>
    </row>
    <row r="7" spans="1:14" x14ac:dyDescent="0.15">
      <c r="A7" t="s">
        <v>136</v>
      </c>
      <c r="B7" t="s">
        <v>215</v>
      </c>
      <c r="C7" t="s">
        <v>217</v>
      </c>
      <c r="D7">
        <v>8450</v>
      </c>
      <c r="E7" t="b">
        <v>1</v>
      </c>
      <c r="F7">
        <v>160</v>
      </c>
      <c r="G7">
        <v>293</v>
      </c>
      <c r="H7" t="s">
        <v>216</v>
      </c>
      <c r="I7" t="s">
        <v>140</v>
      </c>
      <c r="J7" t="s">
        <v>9</v>
      </c>
      <c r="K7" t="s">
        <v>10</v>
      </c>
      <c r="M7">
        <v>150</v>
      </c>
      <c r="N7">
        <v>33</v>
      </c>
    </row>
    <row r="8" spans="1:14" x14ac:dyDescent="0.15">
      <c r="A8" t="s">
        <v>136</v>
      </c>
      <c r="B8" t="s">
        <v>215</v>
      </c>
      <c r="C8" t="s">
        <v>214</v>
      </c>
      <c r="D8">
        <v>8450</v>
      </c>
      <c r="E8" t="b">
        <v>1</v>
      </c>
      <c r="F8">
        <v>220</v>
      </c>
      <c r="G8">
        <v>293</v>
      </c>
      <c r="H8" t="s">
        <v>155</v>
      </c>
      <c r="I8" t="s">
        <v>140</v>
      </c>
      <c r="J8" t="s">
        <v>9</v>
      </c>
      <c r="K8" t="s">
        <v>10</v>
      </c>
      <c r="M8">
        <v>60</v>
      </c>
      <c r="N8">
        <v>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outputCSV">
                <anchor moveWithCells="1" sizeWithCells="1">
                  <from>
                    <xdr:col>2</xdr:col>
                    <xdr:colOff>9525</xdr:colOff>
                    <xdr:row>0</xdr:row>
                    <xdr:rowOff>76200</xdr:rowOff>
                  </from>
                  <to>
                    <xdr:col>5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N7"/>
  <sheetViews>
    <sheetView workbookViewId="0">
      <selection activeCell="F15" sqref="F15"/>
    </sheetView>
  </sheetViews>
  <sheetFormatPr defaultRowHeight="13.5" x14ac:dyDescent="0.15"/>
  <cols>
    <col min="6" max="6" width="34.625" bestFit="1" customWidth="1"/>
  </cols>
  <sheetData>
    <row r="1" spans="1:14" x14ac:dyDescent="0.15">
      <c r="A1" t="s">
        <v>252</v>
      </c>
    </row>
    <row r="2" spans="1:14" x14ac:dyDescent="0.15">
      <c r="A2" t="s">
        <v>129</v>
      </c>
    </row>
    <row r="3" spans="1:14" x14ac:dyDescent="0.15">
      <c r="A3" t="s">
        <v>130</v>
      </c>
      <c r="B3" t="s">
        <v>228</v>
      </c>
      <c r="C3" t="s">
        <v>227</v>
      </c>
      <c r="D3">
        <v>8100</v>
      </c>
      <c r="E3" t="b">
        <v>1</v>
      </c>
      <c r="F3" t="s">
        <v>105</v>
      </c>
      <c r="G3">
        <v>15</v>
      </c>
      <c r="H3">
        <v>15</v>
      </c>
      <c r="I3">
        <v>10</v>
      </c>
      <c r="J3">
        <v>300</v>
      </c>
      <c r="K3">
        <v>230</v>
      </c>
      <c r="L3">
        <v>45</v>
      </c>
    </row>
    <row r="5" spans="1:14" x14ac:dyDescent="0.15">
      <c r="A5" t="s">
        <v>136</v>
      </c>
      <c r="B5" t="s">
        <v>78</v>
      </c>
      <c r="C5" t="s">
        <v>226</v>
      </c>
      <c r="D5">
        <v>8300</v>
      </c>
      <c r="E5" t="b">
        <v>1</v>
      </c>
      <c r="F5">
        <v>23</v>
      </c>
      <c r="G5">
        <v>314</v>
      </c>
      <c r="H5" t="s">
        <v>139</v>
      </c>
      <c r="I5" t="s">
        <v>140</v>
      </c>
      <c r="J5" t="s">
        <v>9</v>
      </c>
      <c r="K5" t="s">
        <v>10</v>
      </c>
      <c r="M5">
        <v>13</v>
      </c>
      <c r="N5">
        <v>14</v>
      </c>
    </row>
    <row r="6" spans="1:14" x14ac:dyDescent="0.15">
      <c r="A6" t="s">
        <v>136</v>
      </c>
      <c r="B6" t="s">
        <v>80</v>
      </c>
      <c r="C6" t="s">
        <v>225</v>
      </c>
      <c r="D6">
        <v>8300</v>
      </c>
      <c r="E6" t="b">
        <v>1</v>
      </c>
      <c r="F6">
        <v>23</v>
      </c>
      <c r="G6">
        <v>331</v>
      </c>
      <c r="H6" t="s">
        <v>139</v>
      </c>
      <c r="I6" t="s">
        <v>140</v>
      </c>
      <c r="J6" t="s">
        <v>9</v>
      </c>
      <c r="K6" t="s">
        <v>10</v>
      </c>
      <c r="M6">
        <v>13</v>
      </c>
      <c r="N6">
        <v>17</v>
      </c>
    </row>
    <row r="7" spans="1:14" x14ac:dyDescent="0.15">
      <c r="A7" t="s">
        <v>136</v>
      </c>
      <c r="B7" t="s">
        <v>82</v>
      </c>
      <c r="C7" t="s">
        <v>224</v>
      </c>
      <c r="D7">
        <v>8300</v>
      </c>
      <c r="E7" t="b">
        <v>1</v>
      </c>
      <c r="F7">
        <v>23</v>
      </c>
      <c r="G7">
        <v>348</v>
      </c>
      <c r="H7" t="s">
        <v>139</v>
      </c>
      <c r="I7" t="s">
        <v>140</v>
      </c>
      <c r="J7" t="s">
        <v>9</v>
      </c>
      <c r="K7" t="s">
        <v>10</v>
      </c>
      <c r="M7">
        <v>13</v>
      </c>
      <c r="N7">
        <v>17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outputCSV">
                <anchor moveWithCells="1" sizeWithCells="1">
                  <from>
                    <xdr:col>2</xdr:col>
                    <xdr:colOff>9525</xdr:colOff>
                    <xdr:row>0</xdr:row>
                    <xdr:rowOff>76200</xdr:rowOff>
                  </from>
                  <to>
                    <xdr:col>5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17"/>
  <sheetViews>
    <sheetView workbookViewId="0">
      <selection activeCell="L18" sqref="L18"/>
    </sheetView>
  </sheetViews>
  <sheetFormatPr defaultRowHeight="13.5" x14ac:dyDescent="0.15"/>
  <sheetData>
    <row r="1" spans="1:13" x14ac:dyDescent="0.15">
      <c r="A1" t="s">
        <v>251</v>
      </c>
    </row>
    <row r="2" spans="1:13" x14ac:dyDescent="0.15">
      <c r="A2" t="s">
        <v>129</v>
      </c>
    </row>
    <row r="3" spans="1:13" s="1" customFormat="1" x14ac:dyDescent="0.15">
      <c r="A3" s="1" t="s">
        <v>130</v>
      </c>
      <c r="B3" s="1" t="s">
        <v>249</v>
      </c>
      <c r="C3" s="1" t="s">
        <v>248</v>
      </c>
      <c r="D3" s="1">
        <v>1</v>
      </c>
      <c r="E3" s="1" t="b">
        <v>1</v>
      </c>
      <c r="F3" s="1" t="s">
        <v>247</v>
      </c>
      <c r="G3" s="1">
        <v>9</v>
      </c>
      <c r="H3" s="1">
        <v>9</v>
      </c>
      <c r="I3" s="1">
        <v>100400</v>
      </c>
      <c r="J3" s="1">
        <v>300</v>
      </c>
      <c r="K3" s="1">
        <v>220</v>
      </c>
      <c r="L3" s="1">
        <v>32</v>
      </c>
    </row>
    <row r="4" spans="1:13" x14ac:dyDescent="0.15">
      <c r="A4" t="s">
        <v>166</v>
      </c>
    </row>
    <row r="5" spans="1:13" s="1" customFormat="1" x14ac:dyDescent="0.15">
      <c r="A5" s="1" t="s">
        <v>136</v>
      </c>
      <c r="B5" s="1" t="s">
        <v>167</v>
      </c>
      <c r="C5" s="1" t="s">
        <v>246</v>
      </c>
      <c r="D5" s="1">
        <v>1</v>
      </c>
      <c r="E5" s="1" t="b">
        <v>1</v>
      </c>
      <c r="F5" s="1">
        <v>23</v>
      </c>
      <c r="G5" s="1">
        <v>193</v>
      </c>
      <c r="H5" s="1" t="s">
        <v>245</v>
      </c>
      <c r="I5" s="1" t="s">
        <v>140</v>
      </c>
      <c r="J5" s="1" t="s">
        <v>9</v>
      </c>
      <c r="K5" s="1" t="s">
        <v>10</v>
      </c>
    </row>
    <row r="6" spans="1:13" s="1" customFormat="1" x14ac:dyDescent="0.15">
      <c r="A6" s="1" t="s">
        <v>136</v>
      </c>
      <c r="B6" s="1" t="s">
        <v>170</v>
      </c>
      <c r="C6" s="1" t="s">
        <v>244</v>
      </c>
      <c r="D6" s="1">
        <v>1</v>
      </c>
      <c r="E6" s="1" t="b">
        <v>1</v>
      </c>
      <c r="F6" s="1">
        <v>23</v>
      </c>
      <c r="G6" s="1">
        <v>212</v>
      </c>
      <c r="H6" s="1" t="s">
        <v>243</v>
      </c>
      <c r="I6" s="1" t="s">
        <v>140</v>
      </c>
      <c r="J6" s="1" t="s">
        <v>9</v>
      </c>
      <c r="K6" s="1" t="s">
        <v>10</v>
      </c>
    </row>
    <row r="7" spans="1:13" s="1" customFormat="1" x14ac:dyDescent="0.15">
      <c r="A7" s="1" t="s">
        <v>136</v>
      </c>
      <c r="B7" s="1" t="s">
        <v>173</v>
      </c>
      <c r="C7" s="1" t="s">
        <v>242</v>
      </c>
      <c r="D7" s="1">
        <v>1</v>
      </c>
      <c r="E7" s="1" t="b">
        <v>1</v>
      </c>
      <c r="F7" s="1">
        <v>23</v>
      </c>
      <c r="G7" s="1">
        <v>231</v>
      </c>
      <c r="H7" s="1" t="s">
        <v>241</v>
      </c>
      <c r="I7" s="1" t="s">
        <v>140</v>
      </c>
      <c r="J7" s="1" t="s">
        <v>9</v>
      </c>
      <c r="K7" s="1" t="s">
        <v>10</v>
      </c>
    </row>
    <row r="8" spans="1:13" s="1" customFormat="1" x14ac:dyDescent="0.15">
      <c r="A8" s="1" t="s">
        <v>136</v>
      </c>
      <c r="B8" s="1" t="s">
        <v>176</v>
      </c>
      <c r="C8" s="1" t="s">
        <v>240</v>
      </c>
      <c r="D8" s="1">
        <v>1</v>
      </c>
      <c r="E8" s="1" t="b">
        <v>1</v>
      </c>
      <c r="F8" s="1">
        <v>183</v>
      </c>
      <c r="G8" s="1">
        <v>193</v>
      </c>
      <c r="H8" s="1" t="s">
        <v>239</v>
      </c>
      <c r="I8" s="1" t="s">
        <v>140</v>
      </c>
      <c r="J8" s="1" t="s">
        <v>9</v>
      </c>
      <c r="K8" s="1" t="s">
        <v>10</v>
      </c>
    </row>
    <row r="9" spans="1:13" s="1" customFormat="1" x14ac:dyDescent="0.15">
      <c r="A9" s="1" t="s">
        <v>136</v>
      </c>
      <c r="B9" s="1" t="s">
        <v>179</v>
      </c>
      <c r="C9" s="1" t="s">
        <v>238</v>
      </c>
      <c r="D9" s="1">
        <v>1</v>
      </c>
      <c r="E9" s="1" t="b">
        <v>1</v>
      </c>
      <c r="F9" s="1">
        <v>183</v>
      </c>
      <c r="G9" s="1">
        <v>212</v>
      </c>
      <c r="H9" s="1" t="s">
        <v>237</v>
      </c>
      <c r="I9" s="1" t="s">
        <v>140</v>
      </c>
      <c r="J9" s="1" t="s">
        <v>9</v>
      </c>
      <c r="K9" s="1" t="s">
        <v>10</v>
      </c>
    </row>
    <row r="10" spans="1:13" s="1" customFormat="1" x14ac:dyDescent="0.15">
      <c r="A10" s="1" t="s">
        <v>136</v>
      </c>
      <c r="B10" s="1" t="s">
        <v>182</v>
      </c>
      <c r="C10" s="1" t="s">
        <v>236</v>
      </c>
      <c r="D10" s="1">
        <v>1</v>
      </c>
      <c r="E10" s="1" t="b">
        <v>1</v>
      </c>
      <c r="F10" s="1">
        <v>183</v>
      </c>
      <c r="G10" s="1">
        <v>231</v>
      </c>
      <c r="H10" s="1" t="s">
        <v>235</v>
      </c>
      <c r="I10" s="1" t="s">
        <v>140</v>
      </c>
      <c r="J10" s="1" t="s">
        <v>9</v>
      </c>
      <c r="K10" s="1" t="s">
        <v>10</v>
      </c>
    </row>
    <row r="11" spans="1:13" x14ac:dyDescent="0.15">
      <c r="A11" t="s">
        <v>152</v>
      </c>
    </row>
    <row r="12" spans="1:13" x14ac:dyDescent="0.15">
      <c r="A12" t="s">
        <v>136</v>
      </c>
      <c r="B12" t="s">
        <v>153</v>
      </c>
      <c r="C12" t="s">
        <v>234</v>
      </c>
      <c r="D12">
        <v>8300</v>
      </c>
      <c r="E12" t="b">
        <v>1</v>
      </c>
      <c r="F12">
        <v>123</v>
      </c>
      <c r="G12">
        <v>193</v>
      </c>
      <c r="H12" t="s">
        <v>155</v>
      </c>
      <c r="I12" t="s">
        <v>140</v>
      </c>
      <c r="J12" t="s">
        <v>9</v>
      </c>
      <c r="K12" t="s">
        <v>10</v>
      </c>
      <c r="M12">
        <v>100</v>
      </c>
    </row>
    <row r="13" spans="1:13" x14ac:dyDescent="0.15">
      <c r="A13" t="s">
        <v>136</v>
      </c>
      <c r="B13" t="s">
        <v>156</v>
      </c>
      <c r="C13" t="s">
        <v>233</v>
      </c>
      <c r="D13">
        <v>8300</v>
      </c>
      <c r="E13" t="b">
        <v>1</v>
      </c>
      <c r="F13">
        <v>123</v>
      </c>
      <c r="G13">
        <v>212</v>
      </c>
      <c r="H13" t="s">
        <v>155</v>
      </c>
      <c r="I13" t="s">
        <v>140</v>
      </c>
      <c r="J13" t="s">
        <v>9</v>
      </c>
      <c r="K13" t="s">
        <v>10</v>
      </c>
      <c r="M13">
        <v>100</v>
      </c>
    </row>
    <row r="14" spans="1:13" x14ac:dyDescent="0.15">
      <c r="A14" t="s">
        <v>136</v>
      </c>
      <c r="B14" t="s">
        <v>158</v>
      </c>
      <c r="C14" t="s">
        <v>232</v>
      </c>
      <c r="D14">
        <v>8300</v>
      </c>
      <c r="E14" t="b">
        <v>1</v>
      </c>
      <c r="F14">
        <v>123</v>
      </c>
      <c r="G14">
        <v>231</v>
      </c>
      <c r="H14" t="s">
        <v>155</v>
      </c>
      <c r="I14" t="s">
        <v>140</v>
      </c>
      <c r="J14" t="s">
        <v>9</v>
      </c>
      <c r="K14" t="s">
        <v>10</v>
      </c>
      <c r="M14">
        <v>100</v>
      </c>
    </row>
    <row r="15" spans="1:13" x14ac:dyDescent="0.15">
      <c r="A15" t="s">
        <v>136</v>
      </c>
      <c r="B15" t="s">
        <v>160</v>
      </c>
      <c r="C15" t="s">
        <v>231</v>
      </c>
      <c r="D15">
        <v>8300</v>
      </c>
      <c r="E15" t="b">
        <v>1</v>
      </c>
      <c r="F15">
        <v>253</v>
      </c>
      <c r="G15">
        <v>193</v>
      </c>
      <c r="H15" t="s">
        <v>155</v>
      </c>
      <c r="I15" t="s">
        <v>140</v>
      </c>
      <c r="J15" t="s">
        <v>9</v>
      </c>
      <c r="K15" t="s">
        <v>10</v>
      </c>
      <c r="M15">
        <v>70</v>
      </c>
    </row>
    <row r="16" spans="1:13" x14ac:dyDescent="0.15">
      <c r="A16" t="s">
        <v>136</v>
      </c>
      <c r="B16" t="s">
        <v>162</v>
      </c>
      <c r="C16" t="s">
        <v>230</v>
      </c>
      <c r="D16">
        <v>8300</v>
      </c>
      <c r="E16" t="b">
        <v>1</v>
      </c>
      <c r="F16">
        <v>253</v>
      </c>
      <c r="G16">
        <v>212</v>
      </c>
      <c r="H16" t="s">
        <v>155</v>
      </c>
      <c r="I16" t="s">
        <v>140</v>
      </c>
      <c r="J16" t="s">
        <v>9</v>
      </c>
      <c r="K16" t="s">
        <v>10</v>
      </c>
      <c r="M16">
        <v>70</v>
      </c>
    </row>
    <row r="17" spans="1:13" x14ac:dyDescent="0.15">
      <c r="A17" t="s">
        <v>136</v>
      </c>
      <c r="B17" t="s">
        <v>164</v>
      </c>
      <c r="C17" t="s">
        <v>229</v>
      </c>
      <c r="D17">
        <v>8300</v>
      </c>
      <c r="E17" t="b">
        <v>1</v>
      </c>
      <c r="F17">
        <v>253</v>
      </c>
      <c r="G17">
        <v>231</v>
      </c>
      <c r="H17" t="s">
        <v>155</v>
      </c>
      <c r="I17" t="s">
        <v>140</v>
      </c>
      <c r="J17" t="s">
        <v>9</v>
      </c>
      <c r="K17" t="s">
        <v>10</v>
      </c>
      <c r="M17">
        <v>70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outputCSV">
                <anchor moveWithCells="1" sizeWithCells="1">
                  <from>
                    <xdr:col>3</xdr:col>
                    <xdr:colOff>9525</xdr:colOff>
                    <xdr:row>0</xdr:row>
                    <xdr:rowOff>76200</xdr:rowOff>
                  </from>
                  <to>
                    <xdr:col>6</xdr:col>
                    <xdr:colOff>9525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21"/>
  <sheetViews>
    <sheetView tabSelected="1" topLeftCell="G1" workbookViewId="0">
      <selection activeCell="N23" sqref="N23"/>
    </sheetView>
  </sheetViews>
  <sheetFormatPr defaultRowHeight="13.5" x14ac:dyDescent="0.15"/>
  <cols>
    <col min="6" max="6" width="43.5" bestFit="1" customWidth="1"/>
  </cols>
  <sheetData>
    <row r="1" spans="1:18" x14ac:dyDescent="0.15">
      <c r="A1" t="s">
        <v>294</v>
      </c>
    </row>
    <row r="2" spans="1:18" x14ac:dyDescent="0.15">
      <c r="A2" t="s">
        <v>1</v>
      </c>
    </row>
    <row r="3" spans="1:18" x14ac:dyDescent="0.15">
      <c r="A3" t="s">
        <v>293</v>
      </c>
    </row>
    <row r="4" spans="1:18" x14ac:dyDescent="0.15">
      <c r="A4" t="s">
        <v>19</v>
      </c>
      <c r="B4" t="s">
        <v>292</v>
      </c>
      <c r="C4" t="s">
        <v>291</v>
      </c>
      <c r="D4">
        <v>2</v>
      </c>
      <c r="E4" t="b">
        <v>1</v>
      </c>
      <c r="F4" t="s">
        <v>290</v>
      </c>
      <c r="G4">
        <v>960</v>
      </c>
      <c r="H4">
        <v>480</v>
      </c>
      <c r="I4">
        <v>0</v>
      </c>
      <c r="J4">
        <v>0</v>
      </c>
    </row>
    <row r="5" spans="1:18" x14ac:dyDescent="0.15">
      <c r="A5" t="s">
        <v>303</v>
      </c>
      <c r="B5" t="s">
        <v>12</v>
      </c>
      <c r="C5" t="s">
        <v>13</v>
      </c>
      <c r="D5">
        <v>3</v>
      </c>
      <c r="E5" t="b">
        <v>1</v>
      </c>
      <c r="F5" t="s">
        <v>289</v>
      </c>
      <c r="G5">
        <v>604</v>
      </c>
      <c r="H5">
        <v>357</v>
      </c>
      <c r="I5">
        <v>20</v>
      </c>
      <c r="J5">
        <v>60</v>
      </c>
    </row>
    <row r="6" spans="1:18" x14ac:dyDescent="0.15">
      <c r="A6" t="s">
        <v>11</v>
      </c>
      <c r="B6" t="s">
        <v>12</v>
      </c>
      <c r="C6" t="s">
        <v>13</v>
      </c>
      <c r="D6">
        <v>3</v>
      </c>
      <c r="E6" t="b">
        <v>1</v>
      </c>
      <c r="F6" t="s">
        <v>304</v>
      </c>
      <c r="G6">
        <v>402</v>
      </c>
      <c r="H6">
        <v>238</v>
      </c>
      <c r="I6">
        <v>215</v>
      </c>
      <c r="J6">
        <v>160</v>
      </c>
    </row>
    <row r="8" spans="1:18" x14ac:dyDescent="0.15">
      <c r="A8" t="s">
        <v>288</v>
      </c>
    </row>
    <row r="9" spans="1:18" x14ac:dyDescent="0.15">
      <c r="A9" t="s">
        <v>65</v>
      </c>
      <c r="B9" t="s">
        <v>284</v>
      </c>
      <c r="C9" t="s">
        <v>287</v>
      </c>
      <c r="D9">
        <v>5</v>
      </c>
      <c r="E9" t="b">
        <v>1</v>
      </c>
      <c r="F9" t="s">
        <v>247</v>
      </c>
      <c r="G9">
        <v>15</v>
      </c>
      <c r="H9">
        <v>15</v>
      </c>
      <c r="I9">
        <v>0</v>
      </c>
      <c r="J9">
        <v>0</v>
      </c>
      <c r="K9">
        <v>63</v>
      </c>
      <c r="L9">
        <v>27</v>
      </c>
      <c r="M9">
        <v>5</v>
      </c>
      <c r="N9">
        <v>1</v>
      </c>
      <c r="O9" t="s">
        <v>286</v>
      </c>
      <c r="P9" t="s">
        <v>8</v>
      </c>
      <c r="Q9" t="s">
        <v>9</v>
      </c>
      <c r="R9" t="s">
        <v>10</v>
      </c>
    </row>
    <row r="10" spans="1:18" x14ac:dyDescent="0.15">
      <c r="A10" t="s">
        <v>285</v>
      </c>
    </row>
    <row r="11" spans="1:18" x14ac:dyDescent="0.15">
      <c r="A11" t="s">
        <v>65</v>
      </c>
      <c r="B11" t="s">
        <v>284</v>
      </c>
      <c r="C11" t="s">
        <v>282</v>
      </c>
      <c r="D11">
        <v>5</v>
      </c>
      <c r="E11" t="b">
        <v>1</v>
      </c>
      <c r="F11" t="s">
        <v>247</v>
      </c>
      <c r="G11">
        <v>15</v>
      </c>
      <c r="H11">
        <v>15</v>
      </c>
      <c r="I11">
        <v>0</v>
      </c>
      <c r="J11">
        <v>430</v>
      </c>
      <c r="K11">
        <v>900</v>
      </c>
      <c r="L11">
        <v>27</v>
      </c>
      <c r="M11">
        <v>100</v>
      </c>
      <c r="N11">
        <v>1</v>
      </c>
      <c r="O11" t="s">
        <v>283</v>
      </c>
      <c r="P11" t="s">
        <v>8</v>
      </c>
      <c r="Q11" t="s">
        <v>9</v>
      </c>
      <c r="R11" t="s">
        <v>10</v>
      </c>
    </row>
    <row r="12" spans="1:18" x14ac:dyDescent="0.15">
      <c r="A12" t="s">
        <v>3</v>
      </c>
      <c r="B12" t="s">
        <v>4</v>
      </c>
      <c r="C12" t="s">
        <v>282</v>
      </c>
      <c r="D12">
        <v>5</v>
      </c>
      <c r="E12" t="b">
        <v>1</v>
      </c>
      <c r="F12" t="s">
        <v>6</v>
      </c>
      <c r="G12">
        <v>20</v>
      </c>
      <c r="H12">
        <v>20</v>
      </c>
      <c r="I12">
        <v>10</v>
      </c>
      <c r="J12">
        <v>10</v>
      </c>
      <c r="K12">
        <v>450</v>
      </c>
      <c r="L12">
        <v>50</v>
      </c>
      <c r="M12">
        <v>25</v>
      </c>
      <c r="N12">
        <v>3</v>
      </c>
      <c r="O12" t="s">
        <v>281</v>
      </c>
      <c r="P12" t="s">
        <v>8</v>
      </c>
      <c r="Q12" t="s">
        <v>9</v>
      </c>
      <c r="R12" t="s">
        <v>10</v>
      </c>
    </row>
    <row r="15" spans="1:18" x14ac:dyDescent="0.15">
      <c r="A15" t="s">
        <v>280</v>
      </c>
    </row>
    <row r="16" spans="1:18" x14ac:dyDescent="0.15">
      <c r="A16" t="s">
        <v>306</v>
      </c>
      <c r="I16">
        <v>25</v>
      </c>
      <c r="J16">
        <v>250</v>
      </c>
    </row>
    <row r="17" spans="1:22" x14ac:dyDescent="0.15">
      <c r="A17" t="s">
        <v>263</v>
      </c>
      <c r="B17" t="s">
        <v>279</v>
      </c>
      <c r="C17" t="s">
        <v>278</v>
      </c>
      <c r="D17">
        <v>5</v>
      </c>
      <c r="E17" t="b">
        <v>1</v>
      </c>
      <c r="F17" t="s">
        <v>260</v>
      </c>
      <c r="G17">
        <v>160</v>
      </c>
      <c r="H17">
        <v>25</v>
      </c>
      <c r="I17">
        <f>I16</f>
        <v>25</v>
      </c>
      <c r="J17">
        <f>J16</f>
        <v>250</v>
      </c>
      <c r="K17" t="s">
        <v>277</v>
      </c>
      <c r="L17">
        <v>20</v>
      </c>
      <c r="M17">
        <v>5</v>
      </c>
      <c r="N17" t="s">
        <v>258</v>
      </c>
      <c r="O17">
        <v>57</v>
      </c>
      <c r="P17">
        <v>76</v>
      </c>
      <c r="Q17">
        <v>453</v>
      </c>
      <c r="R17">
        <v>220</v>
      </c>
      <c r="S17" t="s">
        <v>276</v>
      </c>
      <c r="T17" t="s">
        <v>8</v>
      </c>
      <c r="U17" t="s">
        <v>9</v>
      </c>
      <c r="V17" t="s">
        <v>10</v>
      </c>
    </row>
    <row r="18" spans="1:22" x14ac:dyDescent="0.15">
      <c r="A18" t="s">
        <v>263</v>
      </c>
      <c r="B18" t="s">
        <v>275</v>
      </c>
      <c r="C18" t="s">
        <v>274</v>
      </c>
      <c r="D18">
        <v>5</v>
      </c>
      <c r="E18" t="b">
        <v>1</v>
      </c>
      <c r="F18" t="s">
        <v>266</v>
      </c>
      <c r="G18">
        <v>160</v>
      </c>
      <c r="H18">
        <v>25</v>
      </c>
      <c r="I18">
        <f t="shared" ref="I18:I21" si="0">I17</f>
        <v>25</v>
      </c>
      <c r="J18">
        <f>J17+H18</f>
        <v>275</v>
      </c>
      <c r="K18" t="s">
        <v>273</v>
      </c>
      <c r="L18">
        <v>20</v>
      </c>
      <c r="M18">
        <v>5</v>
      </c>
      <c r="N18" t="s">
        <v>258</v>
      </c>
      <c r="O18">
        <v>57</v>
      </c>
      <c r="P18">
        <v>76</v>
      </c>
      <c r="Q18">
        <v>214</v>
      </c>
      <c r="R18">
        <v>92</v>
      </c>
      <c r="S18" t="s">
        <v>272</v>
      </c>
      <c r="T18" t="s">
        <v>8</v>
      </c>
      <c r="U18" t="s">
        <v>9</v>
      </c>
      <c r="V18" t="s">
        <v>10</v>
      </c>
    </row>
    <row r="19" spans="1:22" x14ac:dyDescent="0.15">
      <c r="A19" t="s">
        <v>263</v>
      </c>
      <c r="B19" t="s">
        <v>271</v>
      </c>
      <c r="C19" t="s">
        <v>270</v>
      </c>
      <c r="D19">
        <v>5</v>
      </c>
      <c r="E19" t="b">
        <v>1</v>
      </c>
      <c r="F19" t="s">
        <v>260</v>
      </c>
      <c r="G19">
        <v>160</v>
      </c>
      <c r="H19">
        <v>25</v>
      </c>
      <c r="I19">
        <f t="shared" si="0"/>
        <v>25</v>
      </c>
      <c r="J19">
        <f t="shared" ref="J19:J21" si="1">J18+H19</f>
        <v>300</v>
      </c>
      <c r="K19" t="s">
        <v>349</v>
      </c>
      <c r="L19">
        <v>20</v>
      </c>
      <c r="M19">
        <v>5</v>
      </c>
      <c r="N19" t="s">
        <v>258</v>
      </c>
      <c r="O19">
        <v>57</v>
      </c>
      <c r="P19">
        <v>76</v>
      </c>
      <c r="Q19">
        <v>330</v>
      </c>
      <c r="R19">
        <v>166</v>
      </c>
      <c r="S19" t="s">
        <v>269</v>
      </c>
      <c r="T19" t="s">
        <v>8</v>
      </c>
      <c r="U19" t="s">
        <v>9</v>
      </c>
      <c r="V19" t="s">
        <v>10</v>
      </c>
    </row>
    <row r="20" spans="1:22" x14ac:dyDescent="0.15">
      <c r="A20" t="s">
        <v>263</v>
      </c>
      <c r="B20" t="s">
        <v>268</v>
      </c>
      <c r="C20" t="s">
        <v>267</v>
      </c>
      <c r="D20">
        <v>5</v>
      </c>
      <c r="E20" t="b">
        <v>1</v>
      </c>
      <c r="F20" t="s">
        <v>266</v>
      </c>
      <c r="G20">
        <v>160</v>
      </c>
      <c r="H20">
        <v>25</v>
      </c>
      <c r="I20">
        <f t="shared" si="0"/>
        <v>25</v>
      </c>
      <c r="J20">
        <f t="shared" si="1"/>
        <v>325</v>
      </c>
      <c r="K20" t="s">
        <v>265</v>
      </c>
      <c r="L20">
        <v>20</v>
      </c>
      <c r="M20">
        <v>5</v>
      </c>
      <c r="N20" t="s">
        <v>258</v>
      </c>
      <c r="O20">
        <v>57</v>
      </c>
      <c r="P20">
        <v>76</v>
      </c>
      <c r="Q20">
        <v>305</v>
      </c>
      <c r="R20">
        <v>89</v>
      </c>
      <c r="S20" t="s">
        <v>264</v>
      </c>
      <c r="T20" t="s">
        <v>8</v>
      </c>
      <c r="U20" t="s">
        <v>9</v>
      </c>
      <c r="V20" t="s">
        <v>10</v>
      </c>
    </row>
    <row r="21" spans="1:22" x14ac:dyDescent="0.15">
      <c r="A21" t="s">
        <v>263</v>
      </c>
      <c r="B21" t="s">
        <v>262</v>
      </c>
      <c r="C21" t="s">
        <v>261</v>
      </c>
      <c r="D21">
        <v>5</v>
      </c>
      <c r="E21" t="b">
        <v>1</v>
      </c>
      <c r="F21" t="s">
        <v>260</v>
      </c>
      <c r="G21">
        <v>160</v>
      </c>
      <c r="H21">
        <v>25</v>
      </c>
      <c r="I21">
        <f t="shared" si="0"/>
        <v>25</v>
      </c>
      <c r="J21">
        <f t="shared" si="1"/>
        <v>350</v>
      </c>
      <c r="K21" t="s">
        <v>259</v>
      </c>
      <c r="L21">
        <v>20</v>
      </c>
      <c r="M21">
        <v>5</v>
      </c>
      <c r="N21" t="s">
        <v>258</v>
      </c>
      <c r="O21">
        <v>57</v>
      </c>
      <c r="P21">
        <v>76</v>
      </c>
      <c r="Q21">
        <v>510</v>
      </c>
      <c r="R21">
        <v>140</v>
      </c>
      <c r="S21" t="s">
        <v>257</v>
      </c>
      <c r="T21" t="s">
        <v>8</v>
      </c>
      <c r="U21" t="s">
        <v>9</v>
      </c>
      <c r="V21" t="s">
        <v>10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outputCSV">
                <anchor moveWithCells="1" sizeWithCells="1">
                  <from>
                    <xdr:col>10</xdr:col>
                    <xdr:colOff>219075</xdr:colOff>
                    <xdr:row>27</xdr:row>
                    <xdr:rowOff>85725</xdr:rowOff>
                  </from>
                  <to>
                    <xdr:col>13</xdr:col>
                    <xdr:colOff>219075</xdr:colOff>
                    <xdr:row>29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R20"/>
  <sheetViews>
    <sheetView workbookViewId="0">
      <selection activeCell="K9" sqref="K9"/>
    </sheetView>
  </sheetViews>
  <sheetFormatPr defaultRowHeight="13.5" x14ac:dyDescent="0.15"/>
  <cols>
    <col min="6" max="6" width="13.75" customWidth="1"/>
  </cols>
  <sheetData>
    <row r="1" spans="1:18" x14ac:dyDescent="0.15">
      <c r="A1" t="s">
        <v>302</v>
      </c>
    </row>
    <row r="2" spans="1:18" x14ac:dyDescent="0.15">
      <c r="A2" t="s">
        <v>1</v>
      </c>
    </row>
    <row r="3" spans="1:18" x14ac:dyDescent="0.15">
      <c r="A3" t="s">
        <v>11</v>
      </c>
      <c r="B3" t="s">
        <v>12</v>
      </c>
      <c r="C3" t="s">
        <v>13</v>
      </c>
      <c r="D3">
        <v>3</v>
      </c>
      <c r="E3" t="b">
        <v>1</v>
      </c>
      <c r="F3" t="s">
        <v>304</v>
      </c>
      <c r="G3">
        <v>402</v>
      </c>
      <c r="H3">
        <v>238</v>
      </c>
      <c r="I3">
        <v>215</v>
      </c>
      <c r="J3">
        <v>160</v>
      </c>
    </row>
    <row r="5" spans="1:18" x14ac:dyDescent="0.15">
      <c r="A5" t="s">
        <v>3</v>
      </c>
      <c r="B5" t="s">
        <v>4</v>
      </c>
      <c r="C5" t="s">
        <v>301</v>
      </c>
      <c r="D5">
        <v>5</v>
      </c>
      <c r="E5" t="b">
        <v>1</v>
      </c>
      <c r="F5" t="s">
        <v>6</v>
      </c>
      <c r="G5">
        <v>20</v>
      </c>
      <c r="H5">
        <v>20</v>
      </c>
      <c r="I5">
        <v>10</v>
      </c>
      <c r="J5">
        <v>10</v>
      </c>
      <c r="K5">
        <v>450</v>
      </c>
      <c r="L5">
        <v>50</v>
      </c>
      <c r="M5">
        <v>25</v>
      </c>
      <c r="N5">
        <v>3</v>
      </c>
      <c r="O5" t="s">
        <v>281</v>
      </c>
      <c r="P5" t="s">
        <v>8</v>
      </c>
      <c r="Q5" t="s">
        <v>9</v>
      </c>
      <c r="R5" t="s">
        <v>10</v>
      </c>
    </row>
    <row r="6" spans="1:18" x14ac:dyDescent="0.15">
      <c r="A6" t="s">
        <v>303</v>
      </c>
      <c r="B6" t="s">
        <v>15</v>
      </c>
      <c r="C6" t="s">
        <v>16</v>
      </c>
      <c r="D6">
        <v>6</v>
      </c>
      <c r="E6" t="b">
        <v>1</v>
      </c>
      <c r="F6" t="s">
        <v>17</v>
      </c>
      <c r="G6">
        <v>120</v>
      </c>
      <c r="H6">
        <v>120</v>
      </c>
      <c r="I6">
        <v>510</v>
      </c>
      <c r="J6">
        <v>10</v>
      </c>
    </row>
    <row r="8" spans="1:18" x14ac:dyDescent="0.15">
      <c r="A8" t="s">
        <v>300</v>
      </c>
    </row>
    <row r="9" spans="1:18" x14ac:dyDescent="0.15">
      <c r="A9" t="s">
        <v>38</v>
      </c>
      <c r="B9" t="s">
        <v>299</v>
      </c>
      <c r="C9" t="s">
        <v>298</v>
      </c>
      <c r="D9">
        <v>10</v>
      </c>
      <c r="E9" t="b">
        <v>1</v>
      </c>
      <c r="F9" t="s">
        <v>260</v>
      </c>
      <c r="G9">
        <v>160</v>
      </c>
      <c r="H9">
        <v>25</v>
      </c>
      <c r="I9">
        <f>villageMain!I21</f>
        <v>25</v>
      </c>
      <c r="J9">
        <f>villageMain!J21</f>
        <v>350</v>
      </c>
      <c r="K9" t="s">
        <v>305</v>
      </c>
      <c r="L9">
        <v>20</v>
      </c>
      <c r="M9">
        <v>5</v>
      </c>
      <c r="N9" t="s">
        <v>8</v>
      </c>
      <c r="O9" t="s">
        <v>9</v>
      </c>
      <c r="P9" t="s">
        <v>10</v>
      </c>
    </row>
    <row r="11" spans="1:18" x14ac:dyDescent="0.15">
      <c r="A11" t="s">
        <v>297</v>
      </c>
    </row>
    <row r="12" spans="1:18" x14ac:dyDescent="0.15">
      <c r="A12" t="s">
        <v>311</v>
      </c>
      <c r="B12" t="s">
        <v>307</v>
      </c>
      <c r="C12" t="s">
        <v>227</v>
      </c>
      <c r="D12">
        <v>1900</v>
      </c>
      <c r="E12" t="b">
        <v>1</v>
      </c>
      <c r="F12" t="s">
        <v>105</v>
      </c>
      <c r="G12">
        <v>15</v>
      </c>
      <c r="H12">
        <v>15</v>
      </c>
      <c r="I12">
        <v>10</v>
      </c>
      <c r="J12">
        <v>100</v>
      </c>
      <c r="K12">
        <v>180</v>
      </c>
      <c r="L12">
        <v>80</v>
      </c>
    </row>
    <row r="13" spans="1:18" x14ac:dyDescent="0.15">
      <c r="A13" t="s">
        <v>309</v>
      </c>
      <c r="B13" t="s">
        <v>296</v>
      </c>
      <c r="C13" t="s">
        <v>295</v>
      </c>
      <c r="D13">
        <v>2000</v>
      </c>
      <c r="E13" t="b">
        <v>1</v>
      </c>
      <c r="F13" t="s">
        <v>310</v>
      </c>
      <c r="G13">
        <v>200</v>
      </c>
      <c r="H13">
        <v>96</v>
      </c>
      <c r="I13">
        <v>15</v>
      </c>
      <c r="J13">
        <v>104</v>
      </c>
    </row>
    <row r="20" spans="11:11" x14ac:dyDescent="0.15">
      <c r="K20" t="s">
        <v>308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outputCSV">
                <anchor moveWithCells="1" sizeWithCells="1">
                  <from>
                    <xdr:col>8</xdr:col>
                    <xdr:colOff>447675</xdr:colOff>
                    <xdr:row>14</xdr:row>
                    <xdr:rowOff>66675</xdr:rowOff>
                  </from>
                  <to>
                    <xdr:col>11</xdr:col>
                    <xdr:colOff>447675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VillageKeine</vt:lpstr>
      <vt:lpstr>VillageKeineCharacterStatus</vt:lpstr>
      <vt:lpstr>VillageKeineClassChangeStatus</vt:lpstr>
      <vt:lpstr>VillageKeineItemAbility</vt:lpstr>
      <vt:lpstr>VillageKeineItemText</vt:lpstr>
      <vt:lpstr>VillageKeineMemberWepon</vt:lpstr>
      <vt:lpstr>VillageKeineWeponStatus</vt:lpstr>
      <vt:lpstr>villageMain</vt:lpstr>
      <vt:lpstr>villageDungion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honya</dc:creator>
  <cp:lastModifiedBy>honya</cp:lastModifiedBy>
  <dcterms:created xsi:type="dcterms:W3CDTF">2014-07-26T04:03:28Z</dcterms:created>
  <dcterms:modified xsi:type="dcterms:W3CDTF">2014-10-04T07:27:13Z</dcterms:modified>
</cp:coreProperties>
</file>