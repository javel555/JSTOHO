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355" yWindow="315" windowWidth="23475" windowHeight="12045"/>
  </bookViews>
  <sheets>
    <sheet name="villageKorin" sheetId="1" r:id="rId1"/>
    <sheet name="VillageKorinItemText" sheetId="2" r:id="rId2"/>
    <sheet name="VillageKorinItemAbility" sheetId="3" r:id="rId3"/>
    <sheet name="VillageKorinWeponStatus" sheetId="4" r:id="rId4"/>
  </sheets>
  <calcPr calcId="125725"/>
</workbook>
</file>

<file path=xl/calcChain.xml><?xml version="1.0" encoding="utf-8"?>
<calcChain xmlns="http://schemas.openxmlformats.org/spreadsheetml/2006/main">
  <c r="F8" i="2"/>
  <c r="G9" i="1"/>
  <c r="F9"/>
  <c r="G7"/>
  <c r="F7"/>
</calcChain>
</file>

<file path=xl/sharedStrings.xml><?xml version="1.0" encoding="utf-8"?>
<sst xmlns="http://schemas.openxmlformats.org/spreadsheetml/2006/main" count="387" uniqueCount="183">
  <si>
    <t>#こうりんどー</t>
  </si>
  <si>
    <t>#タイトル</t>
  </si>
  <si>
    <t>#JSGAMECLGCommonTextWindow</t>
  </si>
  <si>
    <t>テキストウィンドウ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</si>
  <si>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</si>
  <si>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</si>
  <si>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</si>
  <si>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</si>
  <si>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</si>
  <si>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</si>
  <si>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</si>
  <si>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</si>
  <si>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表示サイズX</t>
  </si>
  <si>
    <t>表示サイズY</t>
  </si>
  <si>
    <t>テキスト桁数</t>
  </si>
  <si>
    <t>テキスト行数</t>
  </si>
  <si>
    <t>表示文言セット</t>
  </si>
  <si>
    <t>JSGAMECLGCommonTextWindow</t>
  </si>
  <si>
    <t>香霖堂セリフ</t>
  </si>
  <si>
    <t>KorinMenuText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</si>
  <si>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</si>
  <si>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</si>
  <si>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</si>
  <si>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</si>
  <si>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</si>
  <si>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所持金</t>
  </si>
  <si>
    <t>korin-party-money</t>
  </si>
  <si>
    <t>./data/img/common/window15x15.png</t>
  </si>
  <si>
    <t>仮値</t>
  </si>
  <si>
    <t>重さ</t>
  </si>
  <si>
    <t>korin-party-cap</t>
  </si>
  <si>
    <t>#アイテム一覧とかのリスト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</si>
  <si>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</si>
  <si>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</si>
  <si>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</si>
  <si>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</si>
  <si>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</si>
  <si>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</si>
  <si>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</si>
  <si>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</si>
  <si>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</si>
  <si>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</si>
  <si>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</si>
  <si>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</si>
  <si>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</si>
  <si>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</si>
  <si>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インデントX</t>
  </si>
  <si>
    <t>インデントY</t>
  </si>
  <si>
    <t>JSGAMECLGCommonTextSelecter</t>
  </si>
  <si>
    <t>アイテム一覧</t>
  </si>
  <si>
    <t>korin-item-menu</t>
  </si>
  <si>
    <t>./data/img/village/next.png</t>
  </si>
  <si>
    <t>./data/img/common/menu_pointer.png</t>
  </si>
  <si>
    <t>JSGAMECLGCommonText</t>
  </si>
  <si>
    <t>購入リスト項目名行</t>
  </si>
  <si>
    <t>korin-buy-header</t>
  </si>
  <si>
    <t>名前　　　　　　　　　価格</t>
  </si>
  <si>
    <t>middle</t>
  </si>
  <si>
    <t>売却リスト項目名行</t>
  </si>
  <si>
    <t>korin-seal-header</t>
  </si>
  <si>
    <t>名前　　　　　　　　　価格　　個数</t>
  </si>
  <si>
    <t>#選択メニュー系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</si>
  <si>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</si>
  <si>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</si>
  <si>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</si>
  <si>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</si>
  <si>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</si>
  <si>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</si>
  <si>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買う</t>
  </si>
  <si>
    <t>buy</t>
  </si>
  <si>
    <t>./data/img/common/menu_elem_3.png</t>
  </si>
  <si>
    <t>購入</t>
  </si>
  <si>
    <t>売る</t>
  </si>
  <si>
    <t>sell</t>
  </si>
  <si>
    <t>売却</t>
  </si>
  <si>
    <t>#</t>
  </si>
  <si>
    <t>アイテム</t>
  </si>
  <si>
    <t>buy-item</t>
  </si>
  <si>
    <t>./data/img/common/menu_elem3_m.png</t>
  </si>
  <si>
    <t>道具</t>
  </si>
  <si>
    <t>装備品</t>
  </si>
  <si>
    <t>buy-wepon</t>
  </si>
  <si>
    <t>装備</t>
  </si>
  <si>
    <t>所持品</t>
  </si>
  <si>
    <t>sell-current</t>
  </si>
  <si>
    <t>倉庫</t>
  </si>
  <si>
    <t>sell-depot</t>
  </si>
  <si>
    <t>sell-wepon</t>
  </si>
  <si>
    <t>#背景</t>
  </si>
  <si>
    <t>#JSGAMECLGCommonImage</t>
  </si>
  <si>
    <t>単純な画像表示部品</t>
  </si>
  <si>
    <t>JSGAMECLGCommonImage</t>
  </si>
  <si>
    <t>村画像</t>
  </si>
  <si>
    <t>back-village</t>
  </si>
  <si>
    <t>./data/img/village/korin.png</t>
  </si>
  <si>
    <t>顔グラ</t>
  </si>
  <si>
    <t>back-face</t>
  </si>
  <si>
    <t>./data/img/common/face_frame.png</t>
  </si>
  <si>
    <t>face</t>
  </si>
  <si>
    <t>./data/img/face/korin.png</t>
  </si>
  <si>
    <t>上黒縁</t>
  </si>
  <si>
    <t>back-curtain-top</t>
  </si>
  <si>
    <t>./data/img/village/frame_t.png</t>
  </si>
  <si>
    <t>下黒縁</t>
  </si>
  <si>
    <t>back-curtain-under</t>
  </si>
  <si>
    <t>./data/img/village/frame_u.png</t>
  </si>
  <si>
    <t>#2014/6/2追加要素</t>
  </si>
  <si>
    <t>#アイテム特性</t>
  </si>
  <si>
    <t>JSGAMECLGCommonWindow</t>
  </si>
  <si>
    <t>アイテム特性背景</t>
  </si>
  <si>
    <t>item-ability-back</t>
  </si>
  <si>
    <t>アイテム特性テキスト</t>
  </si>
  <si>
    <t>item-ability-text</t>
  </si>
  <si>
    <t>サンプルテキスト</t>
  </si>
  <si>
    <t>#装備スペック</t>
  </si>
  <si>
    <t>装備スペック背景</t>
  </si>
  <si>
    <t>wepon-status-back</t>
  </si>
  <si>
    <t>wapon-status-text</t>
  </si>
  <si>
    <t>#重さ</t>
  </si>
  <si>
    <t>アイテム重さラベル</t>
  </si>
  <si>
    <t>item-waight-label</t>
  </si>
  <si>
    <t>アイテム重さ</t>
  </si>
  <si>
    <t>item-waight</t>
  </si>
  <si>
    <t>サン</t>
  </si>
  <si>
    <t>SYS-Korin-Item-Text_Weight</t>
  </si>
  <si>
    <t>アイテム説明</t>
  </si>
  <si>
    <t>SYS-Korin-Item-Text_Weight-Label</t>
  </si>
  <si>
    <t>#アイテム重さ</t>
  </si>
  <si>
    <t>SYS-Korin-Item-Text_Info</t>
  </si>
  <si>
    <t>#アイテム説明</t>
  </si>
  <si>
    <t>SYS-Korin-Item-Text_Window</t>
  </si>
  <si>
    <t>アイテム説明欄背景</t>
  </si>
  <si>
    <t>#アイテム説明欄</t>
  </si>
  <si>
    <t>SYS-Korin-Item-Ability_Notice</t>
  </si>
  <si>
    <t>特性説明</t>
  </si>
  <si>
    <t>SYS-Korin-Item-Ability_Name</t>
  </si>
  <si>
    <t>特性名前</t>
  </si>
  <si>
    <t>#特性説明</t>
  </si>
  <si>
    <t>SYS-Korin-Item-Ability_Window</t>
  </si>
  <si>
    <t>特性説明欄背景</t>
  </si>
  <si>
    <t>#特性説明欄</t>
  </si>
  <si>
    <t>SYS-Korin-Wepon_SPD</t>
  </si>
  <si>
    <t>SPD</t>
  </si>
  <si>
    <t>SYS-Korin-Wepon_DEF</t>
  </si>
  <si>
    <t>DEF</t>
  </si>
  <si>
    <t>SYS-Korin-Wepon_ATK</t>
  </si>
  <si>
    <t>ATK</t>
  </si>
  <si>
    <t>SYS-Korin-Wepon_CAP</t>
  </si>
  <si>
    <t>CAP</t>
  </si>
  <si>
    <t>SYS-Korin-Wepon_MP</t>
  </si>
  <si>
    <t>MP</t>
  </si>
  <si>
    <t>SYS-Korin-Wepon_HP</t>
  </si>
  <si>
    <t>HP</t>
  </si>
  <si>
    <t>#値部品</t>
  </si>
  <si>
    <t>SPD:+</t>
  </si>
  <si>
    <t>SYS-Korin-Wepon_SPD-Label</t>
  </si>
  <si>
    <t>SPDラベル</t>
  </si>
  <si>
    <t>DEF:+</t>
  </si>
  <si>
    <t>SYS-Korin-Wepon_DEF-Label</t>
  </si>
  <si>
    <t>DEFラベル</t>
  </si>
  <si>
    <t>ATK:+</t>
  </si>
  <si>
    <t>SYS-Korin-Wepon_ATK-Label</t>
  </si>
  <si>
    <t>ATKラベル</t>
  </si>
  <si>
    <t>CAP:+</t>
  </si>
  <si>
    <t>SYS-Korin-Wepon_CAP-Label</t>
  </si>
  <si>
    <t>CAPラベル</t>
  </si>
  <si>
    <t>MP :+</t>
  </si>
  <si>
    <t>SYS-Korin-Wepon_MP-Label</t>
  </si>
  <si>
    <t>MPラベル</t>
  </si>
  <si>
    <t>HP :+</t>
  </si>
  <si>
    <t>SYS-Korin-Wepon_HP-Label</t>
  </si>
  <si>
    <t>HPラベル</t>
  </si>
  <si>
    <t>#ラベル部品</t>
  </si>
  <si>
    <t>SYS-Korin-Wepon_Window</t>
  </si>
  <si>
    <t>装備ステータス欄背景</t>
  </si>
  <si>
    <t>#装備ステータス欄</t>
  </si>
  <si>
    <t>CAP：</t>
    <phoneticPr fontId="18"/>
  </si>
  <si>
    <t>所持金ラベル</t>
    <phoneticPr fontId="18"/>
  </si>
  <si>
    <t>重さラベル</t>
    <phoneticPr fontId="18"/>
  </si>
  <si>
    <t>korin-party-money-Label</t>
    <phoneticPr fontId="18"/>
  </si>
  <si>
    <t>CAP：</t>
    <phoneticPr fontId="18"/>
  </si>
  <si>
    <t>G：</t>
    <phoneticPr fontId="18"/>
  </si>
  <si>
    <t>korin-party-cap-Label</t>
    <phoneticPr fontId="18"/>
  </si>
</sst>
</file>

<file path=xl/styles.xml><?xml version="1.0" encoding="utf-8"?>
<styleSheet xmlns="http://schemas.openxmlformats.org/spreadsheetml/2006/main">
  <fonts count="20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49"/>
  <sheetViews>
    <sheetView tabSelected="1" topLeftCell="C1" workbookViewId="0">
      <selection activeCell="P21" sqref="P21"/>
    </sheetView>
  </sheetViews>
  <sheetFormatPr defaultRowHeight="13.5"/>
  <cols>
    <col min="1" max="1" width="32.875" bestFit="1" customWidth="1"/>
    <col min="2" max="2" width="23" customWidth="1"/>
    <col min="3" max="3" width="22.875" bestFit="1" customWidth="1"/>
    <col min="12" max="13" width="19.75" bestFit="1" customWidth="1"/>
    <col min="14" max="14" width="11.75" bestFit="1" customWidth="1"/>
  </cols>
  <sheetData>
    <row r="1" spans="1:25">
      <c r="A1" t="s">
        <v>0</v>
      </c>
    </row>
    <row r="3" spans="1:25">
      <c r="A3" t="s">
        <v>1</v>
      </c>
    </row>
    <row r="4" spans="1:25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t="s">
        <v>13</v>
      </c>
      <c r="M4" t="s">
        <v>14</v>
      </c>
      <c r="N4" t="s">
        <v>15</v>
      </c>
      <c r="O4" t="s">
        <v>16</v>
      </c>
    </row>
    <row r="5" spans="1:25">
      <c r="A5" t="s">
        <v>17</v>
      </c>
      <c r="B5" t="s">
        <v>18</v>
      </c>
      <c r="C5" t="s">
        <v>19</v>
      </c>
      <c r="D5">
        <v>8200</v>
      </c>
      <c r="E5" t="b">
        <v>1</v>
      </c>
      <c r="F5" t="s">
        <v>20</v>
      </c>
      <c r="G5">
        <v>20</v>
      </c>
      <c r="H5">
        <v>20</v>
      </c>
      <c r="I5">
        <v>10</v>
      </c>
      <c r="J5">
        <v>10</v>
      </c>
      <c r="K5">
        <v>450</v>
      </c>
      <c r="L5">
        <v>50</v>
      </c>
      <c r="M5">
        <v>25</v>
      </c>
      <c r="N5">
        <v>3</v>
      </c>
      <c r="O5" t="s">
        <v>21</v>
      </c>
      <c r="P5" t="s">
        <v>22</v>
      </c>
      <c r="Q5" t="s">
        <v>23</v>
      </c>
      <c r="R5" t="s">
        <v>24</v>
      </c>
    </row>
    <row r="6" spans="1:25">
      <c r="A6" t="s">
        <v>17</v>
      </c>
      <c r="B6" t="s">
        <v>25</v>
      </c>
      <c r="C6" t="s">
        <v>26</v>
      </c>
      <c r="D6">
        <v>8200</v>
      </c>
      <c r="E6" t="b">
        <v>1</v>
      </c>
      <c r="F6" t="s">
        <v>27</v>
      </c>
      <c r="G6">
        <v>15</v>
      </c>
      <c r="H6">
        <v>15</v>
      </c>
      <c r="I6">
        <v>375</v>
      </c>
      <c r="J6">
        <v>340</v>
      </c>
      <c r="K6">
        <v>90</v>
      </c>
      <c r="L6">
        <v>18</v>
      </c>
      <c r="M6">
        <v>5</v>
      </c>
      <c r="N6">
        <v>1</v>
      </c>
      <c r="O6" t="s">
        <v>28</v>
      </c>
      <c r="P6" t="s">
        <v>22</v>
      </c>
      <c r="Q6" t="s">
        <v>23</v>
      </c>
      <c r="R6" t="s">
        <v>24</v>
      </c>
    </row>
    <row r="7" spans="1:25">
      <c r="A7" t="s">
        <v>53</v>
      </c>
      <c r="B7" t="s">
        <v>177</v>
      </c>
      <c r="C7" t="s">
        <v>179</v>
      </c>
      <c r="D7">
        <v>8300</v>
      </c>
      <c r="E7" t="b">
        <v>1</v>
      </c>
      <c r="F7">
        <f>I6+15</f>
        <v>390</v>
      </c>
      <c r="G7">
        <f>J6+15</f>
        <v>355</v>
      </c>
      <c r="H7" t="s">
        <v>181</v>
      </c>
      <c r="I7" t="s">
        <v>57</v>
      </c>
      <c r="J7" t="s">
        <v>23</v>
      </c>
      <c r="K7" t="s">
        <v>24</v>
      </c>
    </row>
    <row r="8" spans="1:25">
      <c r="A8" t="s">
        <v>17</v>
      </c>
      <c r="B8" t="s">
        <v>29</v>
      </c>
      <c r="C8" t="s">
        <v>30</v>
      </c>
      <c r="D8">
        <v>8200</v>
      </c>
      <c r="E8" t="b">
        <v>1</v>
      </c>
      <c r="F8" t="s">
        <v>27</v>
      </c>
      <c r="G8">
        <v>15</v>
      </c>
      <c r="H8">
        <v>15</v>
      </c>
      <c r="I8">
        <v>505</v>
      </c>
      <c r="J8">
        <v>340</v>
      </c>
      <c r="K8">
        <v>90</v>
      </c>
      <c r="L8">
        <v>18</v>
      </c>
      <c r="M8">
        <v>5</v>
      </c>
      <c r="N8">
        <v>1</v>
      </c>
      <c r="O8" t="s">
        <v>28</v>
      </c>
      <c r="P8" t="s">
        <v>22</v>
      </c>
      <c r="Q8" t="s">
        <v>23</v>
      </c>
      <c r="R8" t="s">
        <v>24</v>
      </c>
    </row>
    <row r="9" spans="1:25">
      <c r="A9" t="s">
        <v>53</v>
      </c>
      <c r="B9" t="s">
        <v>178</v>
      </c>
      <c r="C9" t="s">
        <v>182</v>
      </c>
      <c r="D9">
        <v>8300</v>
      </c>
      <c r="E9" t="b">
        <v>1</v>
      </c>
      <c r="F9">
        <f>I8+15</f>
        <v>520</v>
      </c>
      <c r="G9">
        <f>J8+15</f>
        <v>355</v>
      </c>
      <c r="H9" t="s">
        <v>180</v>
      </c>
      <c r="I9" t="s">
        <v>57</v>
      </c>
      <c r="J9" t="s">
        <v>23</v>
      </c>
      <c r="K9" t="s">
        <v>24</v>
      </c>
    </row>
    <row r="11" spans="1:25">
      <c r="A11" t="s">
        <v>31</v>
      </c>
    </row>
    <row r="12" spans="1:25">
      <c r="A12" t="s">
        <v>32</v>
      </c>
      <c r="B12" t="s">
        <v>33</v>
      </c>
      <c r="C12" t="s">
        <v>4</v>
      </c>
      <c r="D12" t="s">
        <v>5</v>
      </c>
      <c r="E12" t="s">
        <v>6</v>
      </c>
      <c r="F12" t="s">
        <v>34</v>
      </c>
      <c r="G12" t="s">
        <v>35</v>
      </c>
      <c r="H12" t="s">
        <v>36</v>
      </c>
      <c r="I12" t="s">
        <v>10</v>
      </c>
      <c r="J12" t="s">
        <v>11</v>
      </c>
      <c r="K12" t="s">
        <v>14</v>
      </c>
      <c r="L12" t="s">
        <v>15</v>
      </c>
      <c r="M12" t="s">
        <v>37</v>
      </c>
      <c r="N12" t="s">
        <v>38</v>
      </c>
      <c r="O12" t="s">
        <v>39</v>
      </c>
      <c r="P12" t="s">
        <v>40</v>
      </c>
      <c r="Q12" t="s">
        <v>41</v>
      </c>
      <c r="R12" t="s">
        <v>42</v>
      </c>
      <c r="S12" t="s">
        <v>43</v>
      </c>
      <c r="T12" t="s">
        <v>44</v>
      </c>
      <c r="U12" t="s">
        <v>45</v>
      </c>
      <c r="V12" t="s">
        <v>46</v>
      </c>
      <c r="W12" t="s">
        <v>47</v>
      </c>
    </row>
    <row r="13" spans="1:25">
      <c r="A13" t="s">
        <v>48</v>
      </c>
      <c r="B13" t="s">
        <v>49</v>
      </c>
      <c r="C13" t="s">
        <v>50</v>
      </c>
      <c r="D13">
        <v>8100</v>
      </c>
      <c r="E13" t="b">
        <v>0</v>
      </c>
      <c r="F13" t="s">
        <v>27</v>
      </c>
      <c r="G13">
        <v>15</v>
      </c>
      <c r="H13">
        <v>15</v>
      </c>
      <c r="I13">
        <v>20</v>
      </c>
      <c r="J13">
        <v>153</v>
      </c>
      <c r="K13">
        <v>12</v>
      </c>
      <c r="L13">
        <v>13</v>
      </c>
      <c r="M13">
        <v>290</v>
      </c>
      <c r="N13">
        <v>200</v>
      </c>
      <c r="O13" t="s">
        <v>51</v>
      </c>
      <c r="P13">
        <v>290</v>
      </c>
      <c r="Q13">
        <v>25</v>
      </c>
      <c r="R13" t="s">
        <v>52</v>
      </c>
      <c r="S13">
        <v>311</v>
      </c>
      <c r="T13">
        <v>16</v>
      </c>
      <c r="U13" t="s">
        <v>22</v>
      </c>
      <c r="V13">
        <v>0</v>
      </c>
      <c r="W13">
        <v>15</v>
      </c>
      <c r="X13" t="s">
        <v>23</v>
      </c>
      <c r="Y13" t="s">
        <v>24</v>
      </c>
    </row>
    <row r="14" spans="1:25">
      <c r="A14" t="s">
        <v>53</v>
      </c>
      <c r="B14" t="s">
        <v>54</v>
      </c>
      <c r="C14" t="s">
        <v>55</v>
      </c>
      <c r="D14">
        <v>8200</v>
      </c>
      <c r="E14" t="b">
        <v>0</v>
      </c>
      <c r="F14">
        <v>35</v>
      </c>
      <c r="G14">
        <v>165</v>
      </c>
      <c r="H14" t="s">
        <v>56</v>
      </c>
      <c r="I14" t="s">
        <v>57</v>
      </c>
      <c r="J14" t="s">
        <v>23</v>
      </c>
      <c r="K14" t="s">
        <v>24</v>
      </c>
    </row>
    <row r="15" spans="1:25">
      <c r="A15" t="s">
        <v>53</v>
      </c>
      <c r="B15" t="s">
        <v>58</v>
      </c>
      <c r="C15" t="s">
        <v>59</v>
      </c>
      <c r="D15">
        <v>8200</v>
      </c>
      <c r="E15" t="b">
        <v>0</v>
      </c>
      <c r="F15">
        <v>35</v>
      </c>
      <c r="G15">
        <v>165</v>
      </c>
      <c r="H15" t="s">
        <v>60</v>
      </c>
      <c r="I15" t="s">
        <v>57</v>
      </c>
      <c r="J15" t="s">
        <v>23</v>
      </c>
      <c r="K15" t="s">
        <v>24</v>
      </c>
    </row>
    <row r="19" spans="1:16">
      <c r="A19" t="s">
        <v>61</v>
      </c>
    </row>
    <row r="20" spans="1:16">
      <c r="A20" t="s">
        <v>62</v>
      </c>
      <c r="B20" t="s">
        <v>63</v>
      </c>
      <c r="C20" t="s">
        <v>4</v>
      </c>
      <c r="D20" t="s">
        <v>5</v>
      </c>
      <c r="E20" t="s">
        <v>6</v>
      </c>
      <c r="F20" t="s">
        <v>7</v>
      </c>
      <c r="G20" t="s">
        <v>8</v>
      </c>
      <c r="H20" t="s">
        <v>9</v>
      </c>
      <c r="I20" t="s">
        <v>10</v>
      </c>
      <c r="J20" t="s">
        <v>11</v>
      </c>
      <c r="K20" t="s">
        <v>64</v>
      </c>
      <c r="L20" t="s">
        <v>65</v>
      </c>
      <c r="M20" t="s">
        <v>66</v>
      </c>
    </row>
    <row r="21" spans="1:16">
      <c r="A21" t="s">
        <v>67</v>
      </c>
      <c r="B21" t="s">
        <v>68</v>
      </c>
      <c r="C21" t="s">
        <v>69</v>
      </c>
      <c r="D21">
        <v>8300</v>
      </c>
      <c r="E21" t="b">
        <v>1</v>
      </c>
      <c r="F21" t="s">
        <v>70</v>
      </c>
      <c r="G21">
        <v>90</v>
      </c>
      <c r="H21">
        <v>25</v>
      </c>
      <c r="I21">
        <v>20</v>
      </c>
      <c r="J21">
        <v>95</v>
      </c>
      <c r="K21" t="s">
        <v>71</v>
      </c>
      <c r="L21">
        <v>30</v>
      </c>
      <c r="M21">
        <v>5</v>
      </c>
      <c r="N21" t="s">
        <v>22</v>
      </c>
      <c r="O21" t="s">
        <v>23</v>
      </c>
      <c r="P21" t="s">
        <v>24</v>
      </c>
    </row>
    <row r="22" spans="1:16">
      <c r="A22" t="s">
        <v>67</v>
      </c>
      <c r="B22" t="s">
        <v>72</v>
      </c>
      <c r="C22" t="s">
        <v>73</v>
      </c>
      <c r="D22">
        <v>8300</v>
      </c>
      <c r="E22" t="b">
        <v>1</v>
      </c>
      <c r="F22" t="s">
        <v>70</v>
      </c>
      <c r="G22">
        <v>90</v>
      </c>
      <c r="H22">
        <v>25</v>
      </c>
      <c r="I22">
        <v>115</v>
      </c>
      <c r="J22">
        <v>95</v>
      </c>
      <c r="K22" t="s">
        <v>74</v>
      </c>
      <c r="L22">
        <v>30</v>
      </c>
      <c r="M22">
        <v>5</v>
      </c>
      <c r="N22" t="s">
        <v>22</v>
      </c>
      <c r="O22" t="s">
        <v>23</v>
      </c>
      <c r="P22" t="s">
        <v>24</v>
      </c>
    </row>
    <row r="23" spans="1:16">
      <c r="A23" t="s">
        <v>75</v>
      </c>
    </row>
    <row r="24" spans="1:16">
      <c r="A24" t="s">
        <v>67</v>
      </c>
      <c r="B24" t="s">
        <v>76</v>
      </c>
      <c r="C24" t="s">
        <v>77</v>
      </c>
      <c r="D24">
        <v>8300</v>
      </c>
      <c r="E24" t="b">
        <v>0</v>
      </c>
      <c r="F24" t="s">
        <v>78</v>
      </c>
      <c r="G24">
        <v>150</v>
      </c>
      <c r="H24">
        <v>25</v>
      </c>
      <c r="I24">
        <v>32</v>
      </c>
      <c r="J24">
        <v>125</v>
      </c>
      <c r="K24" t="s">
        <v>79</v>
      </c>
      <c r="L24">
        <v>52</v>
      </c>
      <c r="M24">
        <v>5</v>
      </c>
      <c r="N24" t="s">
        <v>22</v>
      </c>
      <c r="O24" t="s">
        <v>23</v>
      </c>
      <c r="P24" t="s">
        <v>24</v>
      </c>
    </row>
    <row r="25" spans="1:16">
      <c r="A25" t="s">
        <v>67</v>
      </c>
      <c r="B25" t="s">
        <v>80</v>
      </c>
      <c r="C25" t="s">
        <v>81</v>
      </c>
      <c r="D25">
        <v>8300</v>
      </c>
      <c r="E25" t="b">
        <v>0</v>
      </c>
      <c r="F25" t="s">
        <v>78</v>
      </c>
      <c r="G25">
        <v>140</v>
      </c>
      <c r="H25">
        <v>25</v>
      </c>
      <c r="I25">
        <v>182</v>
      </c>
      <c r="J25">
        <v>125</v>
      </c>
      <c r="K25" t="s">
        <v>82</v>
      </c>
      <c r="L25">
        <v>52</v>
      </c>
      <c r="M25">
        <v>5</v>
      </c>
      <c r="N25" t="s">
        <v>22</v>
      </c>
      <c r="O25" t="s">
        <v>23</v>
      </c>
      <c r="P25" t="s">
        <v>24</v>
      </c>
    </row>
    <row r="26" spans="1:16">
      <c r="A26" t="s">
        <v>75</v>
      </c>
    </row>
    <row r="27" spans="1:16">
      <c r="A27" t="s">
        <v>67</v>
      </c>
      <c r="B27" t="s">
        <v>83</v>
      </c>
      <c r="C27" t="s">
        <v>84</v>
      </c>
      <c r="D27">
        <v>8300</v>
      </c>
      <c r="E27" t="b">
        <v>0</v>
      </c>
      <c r="F27" t="s">
        <v>78</v>
      </c>
      <c r="G27">
        <v>150</v>
      </c>
      <c r="H27">
        <v>25</v>
      </c>
      <c r="I27">
        <v>32</v>
      </c>
      <c r="J27">
        <v>125</v>
      </c>
      <c r="K27" t="s">
        <v>79</v>
      </c>
      <c r="L27">
        <v>52</v>
      </c>
      <c r="M27">
        <v>5</v>
      </c>
      <c r="N27" t="s">
        <v>22</v>
      </c>
      <c r="O27" t="s">
        <v>23</v>
      </c>
      <c r="P27" t="s">
        <v>24</v>
      </c>
    </row>
    <row r="28" spans="1:16">
      <c r="A28" t="s">
        <v>67</v>
      </c>
      <c r="B28" t="s">
        <v>85</v>
      </c>
      <c r="C28" t="s">
        <v>86</v>
      </c>
      <c r="D28">
        <v>8300</v>
      </c>
      <c r="E28" t="b">
        <v>0</v>
      </c>
      <c r="F28" t="s">
        <v>78</v>
      </c>
      <c r="G28">
        <v>150</v>
      </c>
      <c r="H28">
        <v>25</v>
      </c>
      <c r="I28">
        <v>126</v>
      </c>
      <c r="J28">
        <v>125</v>
      </c>
      <c r="K28" t="s">
        <v>85</v>
      </c>
      <c r="L28">
        <v>36</v>
      </c>
      <c r="M28">
        <v>5</v>
      </c>
      <c r="N28" t="s">
        <v>22</v>
      </c>
      <c r="O28" t="s">
        <v>23</v>
      </c>
      <c r="P28" t="s">
        <v>24</v>
      </c>
    </row>
    <row r="29" spans="1:16">
      <c r="A29" t="s">
        <v>67</v>
      </c>
      <c r="B29" t="s">
        <v>80</v>
      </c>
      <c r="C29" t="s">
        <v>87</v>
      </c>
      <c r="D29">
        <v>8300</v>
      </c>
      <c r="E29" t="b">
        <v>0</v>
      </c>
      <c r="F29" t="s">
        <v>78</v>
      </c>
      <c r="G29">
        <v>150</v>
      </c>
      <c r="H29">
        <v>25</v>
      </c>
      <c r="I29">
        <v>182</v>
      </c>
      <c r="J29">
        <v>125</v>
      </c>
      <c r="K29" t="s">
        <v>82</v>
      </c>
      <c r="L29">
        <v>52</v>
      </c>
      <c r="M29">
        <v>5</v>
      </c>
      <c r="N29" t="s">
        <v>22</v>
      </c>
      <c r="O29" t="s">
        <v>23</v>
      </c>
      <c r="P29" t="s">
        <v>24</v>
      </c>
    </row>
    <row r="31" spans="1:16">
      <c r="A31" t="s">
        <v>88</v>
      </c>
    </row>
    <row r="32" spans="1:16">
      <c r="A32" t="s">
        <v>89</v>
      </c>
      <c r="B32" t="s">
        <v>90</v>
      </c>
      <c r="C32" t="s">
        <v>4</v>
      </c>
      <c r="D32" t="s">
        <v>5</v>
      </c>
      <c r="E32" t="s">
        <v>6</v>
      </c>
      <c r="F32" t="s">
        <v>7</v>
      </c>
      <c r="G32" t="s">
        <v>8</v>
      </c>
      <c r="H32" t="s">
        <v>9</v>
      </c>
      <c r="I32" t="s">
        <v>10</v>
      </c>
      <c r="J32" t="s">
        <v>11</v>
      </c>
    </row>
    <row r="33" spans="1:12">
      <c r="A33" t="s">
        <v>91</v>
      </c>
      <c r="B33" t="s">
        <v>92</v>
      </c>
      <c r="C33" t="s">
        <v>93</v>
      </c>
      <c r="D33">
        <v>99</v>
      </c>
      <c r="E33" t="b">
        <v>1</v>
      </c>
      <c r="F33" t="s">
        <v>94</v>
      </c>
      <c r="G33">
        <v>640</v>
      </c>
      <c r="H33">
        <v>480</v>
      </c>
      <c r="I33">
        <v>0</v>
      </c>
      <c r="J33">
        <v>0</v>
      </c>
    </row>
    <row r="34" spans="1:12">
      <c r="A34" t="s">
        <v>91</v>
      </c>
      <c r="B34" t="s">
        <v>95</v>
      </c>
      <c r="C34" t="s">
        <v>96</v>
      </c>
      <c r="D34">
        <v>1</v>
      </c>
      <c r="E34" t="b">
        <v>1</v>
      </c>
      <c r="F34" t="s">
        <v>97</v>
      </c>
      <c r="G34">
        <v>120</v>
      </c>
      <c r="H34">
        <v>120</v>
      </c>
      <c r="I34">
        <v>510</v>
      </c>
      <c r="J34">
        <v>10</v>
      </c>
    </row>
    <row r="35" spans="1:12">
      <c r="A35" t="s">
        <v>91</v>
      </c>
      <c r="B35" t="s">
        <v>95</v>
      </c>
      <c r="C35" t="s">
        <v>98</v>
      </c>
      <c r="D35">
        <v>1</v>
      </c>
      <c r="E35" t="b">
        <v>1</v>
      </c>
      <c r="F35" t="s">
        <v>99</v>
      </c>
      <c r="G35">
        <v>100</v>
      </c>
      <c r="H35">
        <v>100</v>
      </c>
      <c r="I35">
        <v>520</v>
      </c>
      <c r="J35">
        <v>20</v>
      </c>
    </row>
    <row r="37" spans="1:12">
      <c r="A37" t="s">
        <v>91</v>
      </c>
      <c r="B37" t="s">
        <v>100</v>
      </c>
      <c r="C37" t="s">
        <v>101</v>
      </c>
      <c r="D37">
        <v>1</v>
      </c>
      <c r="E37" t="b">
        <v>1</v>
      </c>
      <c r="F37" t="s">
        <v>102</v>
      </c>
      <c r="G37">
        <v>640</v>
      </c>
      <c r="H37">
        <v>92</v>
      </c>
      <c r="I37">
        <v>0</v>
      </c>
      <c r="J37">
        <v>0</v>
      </c>
    </row>
    <row r="38" spans="1:12">
      <c r="A38" t="s">
        <v>91</v>
      </c>
      <c r="B38" t="s">
        <v>103</v>
      </c>
      <c r="C38" t="s">
        <v>104</v>
      </c>
      <c r="D38">
        <v>1</v>
      </c>
      <c r="E38" t="b">
        <v>1</v>
      </c>
      <c r="F38" t="s">
        <v>105</v>
      </c>
      <c r="G38">
        <v>640</v>
      </c>
      <c r="H38">
        <v>175</v>
      </c>
      <c r="I38">
        <v>0</v>
      </c>
      <c r="J38">
        <v>305</v>
      </c>
    </row>
    <row r="40" spans="1:12">
      <c r="A40" t="s">
        <v>106</v>
      </c>
    </row>
    <row r="41" spans="1:12">
      <c r="A41" t="s">
        <v>107</v>
      </c>
    </row>
    <row r="42" spans="1:12">
      <c r="A42" t="s">
        <v>108</v>
      </c>
      <c r="B42" t="s">
        <v>109</v>
      </c>
      <c r="C42" t="s">
        <v>110</v>
      </c>
      <c r="D42">
        <v>8200</v>
      </c>
      <c r="E42" t="b">
        <v>0</v>
      </c>
      <c r="F42" t="s">
        <v>27</v>
      </c>
      <c r="G42">
        <v>15</v>
      </c>
      <c r="H42">
        <v>15</v>
      </c>
      <c r="I42">
        <v>517</v>
      </c>
      <c r="J42">
        <v>310</v>
      </c>
      <c r="K42">
        <v>94</v>
      </c>
      <c r="L42">
        <v>18</v>
      </c>
    </row>
    <row r="43" spans="1:12">
      <c r="A43" t="s">
        <v>53</v>
      </c>
      <c r="B43" t="s">
        <v>111</v>
      </c>
      <c r="C43" t="s">
        <v>112</v>
      </c>
      <c r="D43">
        <v>8300</v>
      </c>
      <c r="E43" t="b">
        <v>0</v>
      </c>
      <c r="F43">
        <v>500</v>
      </c>
      <c r="G43">
        <v>310</v>
      </c>
      <c r="H43" t="s">
        <v>113</v>
      </c>
      <c r="I43" t="s">
        <v>57</v>
      </c>
      <c r="J43" t="s">
        <v>23</v>
      </c>
      <c r="K43" t="s">
        <v>24</v>
      </c>
    </row>
    <row r="44" spans="1:12">
      <c r="A44" t="s">
        <v>114</v>
      </c>
    </row>
    <row r="45" spans="1:12">
      <c r="A45" t="s">
        <v>108</v>
      </c>
      <c r="B45" t="s">
        <v>115</v>
      </c>
      <c r="C45" t="s">
        <v>116</v>
      </c>
      <c r="D45">
        <v>8200</v>
      </c>
      <c r="E45" t="b">
        <v>0</v>
      </c>
      <c r="F45" t="s">
        <v>27</v>
      </c>
      <c r="G45">
        <v>15</v>
      </c>
      <c r="H45">
        <v>15</v>
      </c>
      <c r="I45">
        <v>517</v>
      </c>
      <c r="J45">
        <v>410</v>
      </c>
      <c r="K45">
        <v>94</v>
      </c>
      <c r="L45">
        <v>18</v>
      </c>
    </row>
    <row r="46" spans="1:12">
      <c r="A46" t="s">
        <v>53</v>
      </c>
      <c r="B46" t="s">
        <v>111</v>
      </c>
      <c r="C46" t="s">
        <v>117</v>
      </c>
      <c r="D46">
        <v>8300</v>
      </c>
      <c r="E46" t="b">
        <v>0</v>
      </c>
      <c r="F46">
        <v>500</v>
      </c>
      <c r="G46">
        <v>410</v>
      </c>
      <c r="H46" t="s">
        <v>113</v>
      </c>
      <c r="I46" t="s">
        <v>57</v>
      </c>
      <c r="J46" t="s">
        <v>23</v>
      </c>
      <c r="K46" t="s">
        <v>24</v>
      </c>
    </row>
    <row r="47" spans="1:12">
      <c r="A47" t="s">
        <v>118</v>
      </c>
    </row>
    <row r="48" spans="1:12">
      <c r="A48" t="s">
        <v>53</v>
      </c>
      <c r="B48" t="s">
        <v>119</v>
      </c>
      <c r="C48" t="s">
        <v>120</v>
      </c>
      <c r="D48">
        <v>8300</v>
      </c>
      <c r="E48" t="b">
        <v>0</v>
      </c>
      <c r="F48">
        <v>500</v>
      </c>
      <c r="G48">
        <v>410</v>
      </c>
      <c r="H48" t="s">
        <v>113</v>
      </c>
      <c r="I48" t="s">
        <v>57</v>
      </c>
      <c r="J48" t="s">
        <v>23</v>
      </c>
      <c r="K48" t="s">
        <v>24</v>
      </c>
    </row>
    <row r="49" spans="1:11">
      <c r="A49" t="s">
        <v>53</v>
      </c>
      <c r="B49" t="s">
        <v>121</v>
      </c>
      <c r="C49" t="s">
        <v>122</v>
      </c>
      <c r="D49">
        <v>8300</v>
      </c>
      <c r="E49" t="b">
        <v>0</v>
      </c>
      <c r="F49">
        <v>500</v>
      </c>
      <c r="G49">
        <v>410</v>
      </c>
      <c r="H49" t="s">
        <v>113</v>
      </c>
      <c r="I49" t="s">
        <v>57</v>
      </c>
      <c r="J49" t="s">
        <v>23</v>
      </c>
      <c r="K49" t="s">
        <v>24</v>
      </c>
    </row>
  </sheetData>
  <phoneticPr fontId="18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8"/>
  <sheetViews>
    <sheetView workbookViewId="0">
      <selection activeCell="A6" sqref="A6"/>
    </sheetView>
  </sheetViews>
  <sheetFormatPr defaultRowHeight="13.5"/>
  <cols>
    <col min="1" max="1" width="26.375" bestFit="1" customWidth="1"/>
    <col min="2" max="2" width="16.75" customWidth="1"/>
  </cols>
  <sheetData>
    <row r="1" spans="1:14">
      <c r="A1" t="s">
        <v>132</v>
      </c>
    </row>
    <row r="2" spans="1:14">
      <c r="A2" t="s">
        <v>88</v>
      </c>
    </row>
    <row r="3" spans="1:14">
      <c r="A3" t="s">
        <v>108</v>
      </c>
      <c r="B3" t="s">
        <v>131</v>
      </c>
      <c r="C3" t="s">
        <v>130</v>
      </c>
      <c r="D3">
        <v>8200</v>
      </c>
      <c r="E3" t="b">
        <v>1</v>
      </c>
      <c r="F3" t="s">
        <v>27</v>
      </c>
      <c r="G3">
        <v>15</v>
      </c>
      <c r="H3">
        <v>15</v>
      </c>
      <c r="I3">
        <v>355</v>
      </c>
      <c r="J3">
        <v>145</v>
      </c>
      <c r="K3">
        <v>250</v>
      </c>
      <c r="L3">
        <v>32</v>
      </c>
    </row>
    <row r="4" spans="1:14">
      <c r="A4" t="s">
        <v>129</v>
      </c>
    </row>
    <row r="5" spans="1:14">
      <c r="A5" t="s">
        <v>53</v>
      </c>
      <c r="B5" t="s">
        <v>125</v>
      </c>
      <c r="C5" t="s">
        <v>128</v>
      </c>
      <c r="D5">
        <v>8300</v>
      </c>
      <c r="E5" t="b">
        <v>1</v>
      </c>
      <c r="F5">
        <v>368</v>
      </c>
      <c r="G5">
        <v>158</v>
      </c>
      <c r="H5" t="s">
        <v>113</v>
      </c>
      <c r="I5" t="s">
        <v>57</v>
      </c>
      <c r="J5" t="s">
        <v>23</v>
      </c>
      <c r="K5" t="s">
        <v>24</v>
      </c>
      <c r="M5">
        <v>13</v>
      </c>
      <c r="N5">
        <v>13</v>
      </c>
    </row>
    <row r="6" spans="1:14">
      <c r="A6" t="s">
        <v>127</v>
      </c>
    </row>
    <row r="7" spans="1:14">
      <c r="A7" t="s">
        <v>53</v>
      </c>
      <c r="B7" t="s">
        <v>125</v>
      </c>
      <c r="C7" t="s">
        <v>126</v>
      </c>
      <c r="D7">
        <v>8300</v>
      </c>
      <c r="E7" t="b">
        <v>1</v>
      </c>
      <c r="F7">
        <v>540</v>
      </c>
      <c r="G7">
        <v>178</v>
      </c>
      <c r="H7" t="s">
        <v>176</v>
      </c>
      <c r="I7" t="s">
        <v>57</v>
      </c>
      <c r="J7" t="s">
        <v>23</v>
      </c>
      <c r="K7" t="s">
        <v>24</v>
      </c>
    </row>
    <row r="8" spans="1:14">
      <c r="A8" t="s">
        <v>53</v>
      </c>
      <c r="B8" t="s">
        <v>125</v>
      </c>
      <c r="C8" t="s">
        <v>124</v>
      </c>
      <c r="D8">
        <v>8300</v>
      </c>
      <c r="E8" t="b">
        <v>1</v>
      </c>
      <c r="F8">
        <f>F7+40</f>
        <v>580</v>
      </c>
      <c r="G8">
        <v>178</v>
      </c>
      <c r="H8" t="s">
        <v>123</v>
      </c>
      <c r="I8" t="s">
        <v>57</v>
      </c>
      <c r="J8" t="s">
        <v>23</v>
      </c>
      <c r="K8" t="s">
        <v>24</v>
      </c>
    </row>
  </sheetData>
  <phoneticPr fontId="18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6"/>
  <sheetViews>
    <sheetView workbookViewId="0">
      <selection activeCell="D3" sqref="D3"/>
    </sheetView>
  </sheetViews>
  <sheetFormatPr defaultRowHeight="13.5"/>
  <sheetData>
    <row r="1" spans="1:12">
      <c r="A1" t="s">
        <v>140</v>
      </c>
    </row>
    <row r="2" spans="1:12">
      <c r="A2" t="s">
        <v>88</v>
      </c>
    </row>
    <row r="3" spans="1:12">
      <c r="A3" t="s">
        <v>108</v>
      </c>
      <c r="B3" t="s">
        <v>139</v>
      </c>
      <c r="C3" t="s">
        <v>138</v>
      </c>
      <c r="D3">
        <v>8200</v>
      </c>
      <c r="E3" t="b">
        <v>1</v>
      </c>
      <c r="F3" t="s">
        <v>27</v>
      </c>
      <c r="G3">
        <v>15</v>
      </c>
      <c r="H3">
        <v>15</v>
      </c>
      <c r="I3">
        <v>400</v>
      </c>
      <c r="J3">
        <v>210</v>
      </c>
      <c r="K3">
        <v>200</v>
      </c>
      <c r="L3">
        <v>32</v>
      </c>
    </row>
    <row r="4" spans="1:12">
      <c r="A4" t="s">
        <v>137</v>
      </c>
    </row>
    <row r="5" spans="1:12">
      <c r="A5" t="s">
        <v>53</v>
      </c>
      <c r="B5" t="s">
        <v>136</v>
      </c>
      <c r="C5" t="s">
        <v>135</v>
      </c>
      <c r="D5">
        <v>8300</v>
      </c>
      <c r="E5" t="b">
        <v>1</v>
      </c>
      <c r="F5">
        <v>413</v>
      </c>
      <c r="G5">
        <v>223</v>
      </c>
      <c r="H5" t="s">
        <v>113</v>
      </c>
      <c r="I5" t="s">
        <v>57</v>
      </c>
      <c r="J5" t="s">
        <v>23</v>
      </c>
      <c r="K5" t="s">
        <v>24</v>
      </c>
    </row>
    <row r="6" spans="1:12">
      <c r="A6" t="s">
        <v>53</v>
      </c>
      <c r="B6" t="s">
        <v>134</v>
      </c>
      <c r="C6" t="s">
        <v>133</v>
      </c>
      <c r="D6">
        <v>8300</v>
      </c>
      <c r="E6" t="b">
        <v>1</v>
      </c>
      <c r="F6">
        <v>433</v>
      </c>
      <c r="G6">
        <v>243</v>
      </c>
      <c r="H6" t="s">
        <v>113</v>
      </c>
      <c r="I6" t="s">
        <v>57</v>
      </c>
      <c r="J6" t="s">
        <v>23</v>
      </c>
      <c r="K6" t="s">
        <v>24</v>
      </c>
    </row>
  </sheetData>
  <phoneticPr fontId="18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17"/>
  <sheetViews>
    <sheetView workbookViewId="0">
      <selection activeCell="F9" sqref="F9"/>
    </sheetView>
  </sheetViews>
  <sheetFormatPr defaultRowHeight="13.5"/>
  <sheetData>
    <row r="1" spans="1:15">
      <c r="A1" t="s">
        <v>175</v>
      </c>
    </row>
    <row r="2" spans="1:15">
      <c r="A2" t="s">
        <v>88</v>
      </c>
    </row>
    <row r="3" spans="1:15">
      <c r="A3" t="s">
        <v>108</v>
      </c>
      <c r="B3" t="s">
        <v>174</v>
      </c>
      <c r="C3" t="s">
        <v>173</v>
      </c>
      <c r="D3">
        <v>8200</v>
      </c>
      <c r="E3" t="b">
        <v>1</v>
      </c>
      <c r="F3" t="s">
        <v>27</v>
      </c>
      <c r="G3">
        <v>15</v>
      </c>
      <c r="H3">
        <v>15</v>
      </c>
      <c r="I3">
        <v>370</v>
      </c>
      <c r="J3">
        <v>275</v>
      </c>
      <c r="K3">
        <v>235</v>
      </c>
      <c r="L3">
        <v>32</v>
      </c>
    </row>
    <row r="4" spans="1:15">
      <c r="A4" t="s">
        <v>172</v>
      </c>
    </row>
    <row r="5" spans="1:15">
      <c r="A5" t="s">
        <v>53</v>
      </c>
      <c r="B5" t="s">
        <v>171</v>
      </c>
      <c r="C5" t="s">
        <v>170</v>
      </c>
      <c r="D5">
        <v>8300</v>
      </c>
      <c r="E5" t="b">
        <v>1</v>
      </c>
      <c r="F5">
        <v>383</v>
      </c>
      <c r="G5">
        <v>288</v>
      </c>
      <c r="H5" t="s">
        <v>169</v>
      </c>
      <c r="I5" t="s">
        <v>57</v>
      </c>
      <c r="J5" t="s">
        <v>23</v>
      </c>
      <c r="K5" t="s">
        <v>24</v>
      </c>
      <c r="N5">
        <v>13</v>
      </c>
      <c r="O5">
        <v>13</v>
      </c>
    </row>
    <row r="6" spans="1:15">
      <c r="A6" t="s">
        <v>53</v>
      </c>
      <c r="B6" t="s">
        <v>168</v>
      </c>
      <c r="C6" t="s">
        <v>167</v>
      </c>
      <c r="D6">
        <v>8300</v>
      </c>
      <c r="E6" t="b">
        <v>1</v>
      </c>
      <c r="F6">
        <v>463</v>
      </c>
      <c r="G6">
        <v>288</v>
      </c>
      <c r="H6" t="s">
        <v>166</v>
      </c>
      <c r="I6" t="s">
        <v>57</v>
      </c>
      <c r="J6" t="s">
        <v>23</v>
      </c>
      <c r="K6" t="s">
        <v>24</v>
      </c>
      <c r="N6">
        <v>80</v>
      </c>
      <c r="O6">
        <v>20</v>
      </c>
    </row>
    <row r="7" spans="1:15">
      <c r="A7" t="s">
        <v>53</v>
      </c>
      <c r="B7" t="s">
        <v>165</v>
      </c>
      <c r="C7" t="s">
        <v>164</v>
      </c>
      <c r="D7">
        <v>8300</v>
      </c>
      <c r="E7" t="b">
        <v>1</v>
      </c>
      <c r="F7">
        <v>543</v>
      </c>
      <c r="G7">
        <v>288</v>
      </c>
      <c r="H7" t="s">
        <v>163</v>
      </c>
      <c r="I7" t="s">
        <v>57</v>
      </c>
      <c r="J7" t="s">
        <v>23</v>
      </c>
      <c r="K7" t="s">
        <v>24</v>
      </c>
      <c r="N7">
        <v>45</v>
      </c>
    </row>
    <row r="8" spans="1:15">
      <c r="A8" t="s">
        <v>53</v>
      </c>
      <c r="B8" t="s">
        <v>162</v>
      </c>
      <c r="C8" t="s">
        <v>161</v>
      </c>
      <c r="D8">
        <v>8300</v>
      </c>
      <c r="E8" t="b">
        <v>1</v>
      </c>
      <c r="F8">
        <v>383</v>
      </c>
      <c r="G8">
        <v>308</v>
      </c>
      <c r="H8" t="s">
        <v>160</v>
      </c>
      <c r="I8" t="s">
        <v>57</v>
      </c>
      <c r="J8" t="s">
        <v>23</v>
      </c>
      <c r="K8" t="s">
        <v>24</v>
      </c>
    </row>
    <row r="9" spans="1:15">
      <c r="A9" t="s">
        <v>53</v>
      </c>
      <c r="B9" t="s">
        <v>159</v>
      </c>
      <c r="C9" t="s">
        <v>158</v>
      </c>
      <c r="D9">
        <v>8300</v>
      </c>
      <c r="E9" t="b">
        <v>1</v>
      </c>
      <c r="F9">
        <v>463</v>
      </c>
      <c r="G9">
        <v>308</v>
      </c>
      <c r="H9" t="s">
        <v>157</v>
      </c>
      <c r="I9" t="s">
        <v>57</v>
      </c>
      <c r="J9" t="s">
        <v>23</v>
      </c>
      <c r="K9" t="s">
        <v>24</v>
      </c>
    </row>
    <row r="10" spans="1:15">
      <c r="A10" t="s">
        <v>53</v>
      </c>
      <c r="B10" t="s">
        <v>156</v>
      </c>
      <c r="C10" t="s">
        <v>155</v>
      </c>
      <c r="D10">
        <v>8300</v>
      </c>
      <c r="E10" t="b">
        <v>1</v>
      </c>
      <c r="F10">
        <v>543</v>
      </c>
      <c r="G10">
        <v>308</v>
      </c>
      <c r="H10" t="s">
        <v>154</v>
      </c>
      <c r="I10" t="s">
        <v>57</v>
      </c>
      <c r="J10" t="s">
        <v>23</v>
      </c>
      <c r="K10" t="s">
        <v>24</v>
      </c>
    </row>
    <row r="11" spans="1:15">
      <c r="A11" t="s">
        <v>153</v>
      </c>
    </row>
    <row r="12" spans="1:15">
      <c r="A12" t="s">
        <v>53</v>
      </c>
      <c r="B12" t="s">
        <v>152</v>
      </c>
      <c r="C12" t="s">
        <v>151</v>
      </c>
      <c r="D12">
        <v>8300</v>
      </c>
      <c r="E12" t="b">
        <v>1</v>
      </c>
      <c r="F12">
        <v>428</v>
      </c>
      <c r="G12">
        <v>288</v>
      </c>
      <c r="H12" t="s">
        <v>123</v>
      </c>
      <c r="I12" t="s">
        <v>57</v>
      </c>
      <c r="J12" t="s">
        <v>23</v>
      </c>
      <c r="K12" t="s">
        <v>24</v>
      </c>
    </row>
    <row r="13" spans="1:15">
      <c r="A13" t="s">
        <v>53</v>
      </c>
      <c r="B13" t="s">
        <v>150</v>
      </c>
      <c r="C13" t="s">
        <v>149</v>
      </c>
      <c r="D13">
        <v>8300</v>
      </c>
      <c r="E13" t="b">
        <v>1</v>
      </c>
      <c r="F13">
        <v>508</v>
      </c>
      <c r="G13">
        <v>288</v>
      </c>
      <c r="H13" t="s">
        <v>123</v>
      </c>
      <c r="I13" t="s">
        <v>57</v>
      </c>
      <c r="J13" t="s">
        <v>23</v>
      </c>
      <c r="K13" t="s">
        <v>24</v>
      </c>
    </row>
    <row r="14" spans="1:15">
      <c r="A14" t="s">
        <v>53</v>
      </c>
      <c r="B14" t="s">
        <v>148</v>
      </c>
      <c r="C14" t="s">
        <v>147</v>
      </c>
      <c r="D14">
        <v>8300</v>
      </c>
      <c r="E14" t="b">
        <v>1</v>
      </c>
      <c r="F14">
        <v>588</v>
      </c>
      <c r="G14">
        <v>288</v>
      </c>
      <c r="H14" t="s">
        <v>123</v>
      </c>
      <c r="I14" t="s">
        <v>57</v>
      </c>
      <c r="J14" t="s">
        <v>23</v>
      </c>
      <c r="K14" t="s">
        <v>24</v>
      </c>
    </row>
    <row r="15" spans="1:15">
      <c r="A15" t="s">
        <v>53</v>
      </c>
      <c r="B15" t="s">
        <v>146</v>
      </c>
      <c r="C15" t="s">
        <v>145</v>
      </c>
      <c r="D15">
        <v>8300</v>
      </c>
      <c r="E15" t="b">
        <v>1</v>
      </c>
      <c r="F15">
        <v>428</v>
      </c>
      <c r="G15">
        <v>308</v>
      </c>
      <c r="H15" t="s">
        <v>123</v>
      </c>
      <c r="I15" t="s">
        <v>57</v>
      </c>
      <c r="J15" t="s">
        <v>23</v>
      </c>
      <c r="K15" t="s">
        <v>24</v>
      </c>
    </row>
    <row r="16" spans="1:15">
      <c r="A16" t="s">
        <v>53</v>
      </c>
      <c r="B16" t="s">
        <v>144</v>
      </c>
      <c r="C16" t="s">
        <v>143</v>
      </c>
      <c r="D16">
        <v>8300</v>
      </c>
      <c r="E16" t="b">
        <v>1</v>
      </c>
      <c r="F16">
        <v>508</v>
      </c>
      <c r="G16">
        <v>308</v>
      </c>
      <c r="H16" t="s">
        <v>123</v>
      </c>
      <c r="I16" t="s">
        <v>57</v>
      </c>
      <c r="J16" t="s">
        <v>23</v>
      </c>
      <c r="K16" t="s">
        <v>24</v>
      </c>
    </row>
    <row r="17" spans="1:11">
      <c r="A17" t="s">
        <v>53</v>
      </c>
      <c r="B17" t="s">
        <v>142</v>
      </c>
      <c r="C17" t="s">
        <v>141</v>
      </c>
      <c r="D17">
        <v>8300</v>
      </c>
      <c r="E17" t="b">
        <v>1</v>
      </c>
      <c r="F17">
        <v>588</v>
      </c>
      <c r="G17">
        <v>308</v>
      </c>
      <c r="H17" t="s">
        <v>123</v>
      </c>
      <c r="I17" t="s">
        <v>57</v>
      </c>
      <c r="J17" t="s">
        <v>23</v>
      </c>
      <c r="K17" t="s">
        <v>24</v>
      </c>
    </row>
  </sheetData>
  <phoneticPr fontId="18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villageKorin</vt:lpstr>
      <vt:lpstr>VillageKorinItemText</vt:lpstr>
      <vt:lpstr>VillageKorinItemAbility</vt:lpstr>
      <vt:lpstr>VillageKorinWeponStatus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Javel</cp:lastModifiedBy>
  <dcterms:created xsi:type="dcterms:W3CDTF">2014-10-02T12:48:42Z</dcterms:created>
  <dcterms:modified xsi:type="dcterms:W3CDTF">2014-10-06T14:49:15Z</dcterms:modified>
</cp:coreProperties>
</file>